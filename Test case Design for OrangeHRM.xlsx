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Check List" sheetId="2" r:id="rId5"/>
    <sheet state="visible" name="1st Test Cases(Demo)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8">
      <text>
        <t xml:space="preserve">Review from my site not your site 
</t>
      </text>
    </comment>
    <comment authorId="0" ref="P12">
      <text>
        <t xml:space="preserve">Comment korbe reviewer
	-Linia Hossain</t>
      </text>
    </comment>
  </commentList>
</comments>
</file>

<file path=xl/sharedStrings.xml><?xml version="1.0" encoding="utf-8"?>
<sst xmlns="http://schemas.openxmlformats.org/spreadsheetml/2006/main" count="617" uniqueCount="246">
  <si>
    <t>Product Name</t>
  </si>
  <si>
    <t>OrangeHRM</t>
  </si>
  <si>
    <t>Test case start date</t>
  </si>
  <si>
    <t>14/10/2025</t>
  </si>
  <si>
    <t>Test Case Excution Start date</t>
  </si>
  <si>
    <t xml:space="preserve">Test case Summary </t>
  </si>
  <si>
    <t>Module Name</t>
  </si>
  <si>
    <t>Full Website</t>
  </si>
  <si>
    <t xml:space="preserve">Test case end Date </t>
  </si>
  <si>
    <t>15/10/2025</t>
  </si>
  <si>
    <t>Test case Excution Enddate</t>
  </si>
  <si>
    <t>PASS</t>
  </si>
  <si>
    <t>Developer Name</t>
  </si>
  <si>
    <t>Test case Developed By</t>
  </si>
  <si>
    <t>Pritam Saha Turja</t>
  </si>
  <si>
    <t>FAIL</t>
  </si>
  <si>
    <t xml:space="preserve">Test Executed By </t>
  </si>
  <si>
    <t xml:space="preserve">Test case Review by </t>
  </si>
  <si>
    <t>Linia E Jannat</t>
  </si>
  <si>
    <t>Warning</t>
  </si>
  <si>
    <t>Alert</t>
  </si>
  <si>
    <t xml:space="preserve">Total </t>
  </si>
  <si>
    <t>TestCase ID</t>
  </si>
  <si>
    <t>Title</t>
  </si>
  <si>
    <t>Precondition</t>
  </si>
  <si>
    <t>Steps</t>
  </si>
  <si>
    <t>Test Date</t>
  </si>
  <si>
    <t>Browser</t>
  </si>
  <si>
    <t>Expected Result</t>
  </si>
  <si>
    <t>Actual Result</t>
  </si>
  <si>
    <t>Status</t>
  </si>
  <si>
    <t>Comment</t>
  </si>
  <si>
    <t>Drive Link</t>
  </si>
  <si>
    <t>TCID 1</t>
  </si>
  <si>
    <t>Homepage Load Successfully</t>
  </si>
  <si>
    <t>Stable Internet connection</t>
  </si>
  <si>
    <t>1. Stable internet 
2. Open Homepage</t>
  </si>
  <si>
    <t>14/10/25</t>
  </si>
  <si>
    <t>Google Chrome</t>
  </si>
  <si>
    <t>All components showed well</t>
  </si>
  <si>
    <t>All components are well showed</t>
  </si>
  <si>
    <t>Pass</t>
  </si>
  <si>
    <t>TCID 2</t>
  </si>
  <si>
    <t>Main navigation menu items (Home, Solutions, Features, Resources)</t>
  </si>
  <si>
    <t>User on homepage</t>
  </si>
  <si>
    <t>1. Open Homepage
2. Check navigation menu items</t>
  </si>
  <si>
    <t>Correctly redirect</t>
  </si>
  <si>
    <t>Successfully Redirect</t>
  </si>
  <si>
    <t>TCID 3</t>
  </si>
  <si>
    <t>Broken Links</t>
  </si>
  <si>
    <t xml:space="preserve">
</t>
  </si>
  <si>
    <t>1. Open Inspect, Developer Tools
2. Check for broken links</t>
  </si>
  <si>
    <t>All links are good enough to redirect to another page</t>
  </si>
  <si>
    <t>As expected</t>
  </si>
  <si>
    <t>TCID 4</t>
  </si>
  <si>
    <t>Free demo request</t>
  </si>
  <si>
    <t>Email, full name, company name
work mail, country, job title</t>
  </si>
  <si>
    <t>1. Open Book a free demo option
2. Perform the operation with correct credentials</t>
  </si>
  <si>
    <t>iphone 14 pro max,Chrome</t>
  </si>
  <si>
    <t>Using correct email and password user can signup</t>
  </si>
  <si>
    <t>TCID 5</t>
  </si>
  <si>
    <t>Language Check</t>
  </si>
  <si>
    <t>Know about English, Spanish</t>
  </si>
  <si>
    <t>1. Select a language from the drop down menu</t>
  </si>
  <si>
    <t>Galaxy s22 ultra</t>
  </si>
  <si>
    <t>Full wepage will convert into different language</t>
  </si>
  <si>
    <t>Only some specific options are converted into Different language</t>
  </si>
  <si>
    <t>Screenshot_46.png</t>
  </si>
  <si>
    <t>TCID 6</t>
  </si>
  <si>
    <t xml:space="preserve">Form Submission </t>
  </si>
  <si>
    <t>1. Perform operation with correct credentials</t>
  </si>
  <si>
    <t>Google chrome</t>
  </si>
  <si>
    <t>Information will be submitted and a mail will be received in response</t>
  </si>
  <si>
    <t>Mail received</t>
  </si>
  <si>
    <t>TCID 7</t>
  </si>
  <si>
    <t>Search Functionality</t>
  </si>
  <si>
    <t>invalid data</t>
  </si>
  <si>
    <t>1. search with invalid keyword</t>
  </si>
  <si>
    <t>no results found" message will be displayed</t>
  </si>
  <si>
    <t>no results found" message is displayed</t>
  </si>
  <si>
    <t>Fail</t>
  </si>
  <si>
    <t>Search Result.png</t>
  </si>
  <si>
    <t>TCID 8</t>
  </si>
  <si>
    <t>Footer Links</t>
  </si>
  <si>
    <t>click on icon</t>
  </si>
  <si>
    <t>1. click on footer icon or link
2. Automatically redirect to Another linked page</t>
  </si>
  <si>
    <t>15/10/25</t>
  </si>
  <si>
    <t>Redirected to another page</t>
  </si>
  <si>
    <t>TCID 9</t>
  </si>
  <si>
    <t>Invlalid email signup</t>
  </si>
  <si>
    <t>name : pritam
email: pritam@gmail@115@115.com</t>
  </si>
  <si>
    <t>1. Open demo request 
2. insert invalid email format</t>
  </si>
  <si>
    <t>Demo Request shoulld not be Received</t>
  </si>
  <si>
    <t>Demo Request Has Been Received</t>
  </si>
  <si>
    <t>TCID 10</t>
  </si>
  <si>
    <t>Document Download</t>
  </si>
  <si>
    <t>1. valid signup
2. Download from Mail</t>
  </si>
  <si>
    <t>Document download from mail</t>
  </si>
  <si>
    <t>Document download successfull</t>
  </si>
  <si>
    <t>TCID 11</t>
  </si>
  <si>
    <t>Mobile Responsiveness</t>
  </si>
  <si>
    <t>iphone 12 pro, samsung s20 ultra, samsung z fold screen test</t>
  </si>
  <si>
    <t>1. Open inspect 
2.Try different mobile screen</t>
  </si>
  <si>
    <t xml:space="preserve">iphone 12 pro, samsung s20 ultra, samsung z fold screen </t>
  </si>
  <si>
    <t>Responsive through different mobile screen</t>
  </si>
  <si>
    <t>Responsiveness is well across all mobile device screen</t>
  </si>
  <si>
    <t>TCID 12</t>
  </si>
  <si>
    <t>Image rendering</t>
  </si>
  <si>
    <t>1. Go to https://www.orangehrm.com/#
2. Check the images available on the site</t>
  </si>
  <si>
    <t>All images on the site load correctly,well sized and are not stretched</t>
  </si>
  <si>
    <t>All images are good enough but some images are small in sizes ,can increased the image size upto 100%</t>
  </si>
  <si>
    <t>imaze size.png</t>
  </si>
  <si>
    <t>TCID 13</t>
  </si>
  <si>
    <t>Readability</t>
  </si>
  <si>
    <r>
      <rPr>
        <color rgb="FF000000"/>
      </rPr>
      <t xml:space="preserve">1. Go to </t>
    </r>
    <r>
      <rPr>
        <color rgb="FF1155CC"/>
        <u/>
      </rPr>
      <t>https://www.orangehrm.com/#</t>
    </r>
    <r>
      <rPr>
        <color rgb="FF000000"/>
      </rPr>
      <t xml:space="preserve">
2. Check the texts on the site</t>
    </r>
  </si>
  <si>
    <t>All texts should have sufficient contrast against the background for readability</t>
  </si>
  <si>
    <t>All text have good enough contrast against the background</t>
  </si>
  <si>
    <t>TCID 14</t>
  </si>
  <si>
    <t>Page Load Speed</t>
  </si>
  <si>
    <t xml:space="preserve">1. Go to https://www.orangehrm.com/#
2. open powerhouse and perform a analysis </t>
  </si>
  <si>
    <t>Page load speed under 3sec</t>
  </si>
  <si>
    <t>2.8 Sec</t>
  </si>
  <si>
    <t>TCID 15</t>
  </si>
  <si>
    <t>Lighthouse Audit</t>
  </si>
  <si>
    <t>1. Go to https://www.orangehrm.com/#
2. open powerhouse and perform a analysis for lighhouse</t>
  </si>
  <si>
    <t>performance
accessibility
SEO all over 90%</t>
  </si>
  <si>
    <t>performance 50%
accessibility 74%
SEO all over 79%</t>
  </si>
  <si>
    <t>TCID 16</t>
  </si>
  <si>
    <t>HTTP/2  Support</t>
  </si>
  <si>
    <t>Http 2 pro Supported</t>
  </si>
  <si>
    <r>
      <rPr/>
      <t xml:space="preserve">1. Go to </t>
    </r>
    <r>
      <rPr>
        <color rgb="FF1155CC"/>
        <u/>
      </rPr>
      <t xml:space="preserve">https://tools.keycdn.com/http2-test
</t>
    </r>
    <r>
      <rPr/>
      <t>2. Paste the website link and check the result</t>
    </r>
  </si>
  <si>
    <t>HTTP/2 , ALPN Should be supported</t>
  </si>
  <si>
    <t>HTTP/2 , ALPN supported</t>
  </si>
  <si>
    <t>TCID 17</t>
  </si>
  <si>
    <t>Linked pages</t>
  </si>
  <si>
    <r>
      <rPr/>
      <t xml:space="preserve">1. Go to </t>
    </r>
    <r>
      <rPr>
        <color rgb="FF1155CC"/>
        <u/>
      </rPr>
      <t xml:space="preserve">https://tools.keycdn.com/http2-test
</t>
    </r>
    <r>
      <rPr/>
      <t>2. Check some linked page redirection</t>
    </r>
  </si>
  <si>
    <t>Linked pages should be opened</t>
  </si>
  <si>
    <t>Linked pages are opened</t>
  </si>
  <si>
    <t>TCID 18</t>
  </si>
  <si>
    <t>Input validation</t>
  </si>
  <si>
    <t>1. Open demo request from the wesite
2. Put letters as phone number</t>
  </si>
  <si>
    <t>Only numerical values are allowed</t>
  </si>
  <si>
    <t>Both text and numerical value can be used</t>
  </si>
  <si>
    <t>Input type error.png</t>
  </si>
  <si>
    <t>TCID 19</t>
  </si>
  <si>
    <t>Blog items load</t>
  </si>
  <si>
    <t>Go to Resources then Blog
Click a blog article</t>
  </si>
  <si>
    <t>20/10/2025</t>
  </si>
  <si>
    <t>Article loads with full content</t>
  </si>
  <si>
    <t>Articel loaded successfully</t>
  </si>
  <si>
    <t>TCID 20</t>
  </si>
  <si>
    <t>Text wrapping</t>
  </si>
  <si>
    <t>1. Go to resources then click blog
2. Check the text on 1st blog article</t>
  </si>
  <si>
    <t>20/10/2026</t>
  </si>
  <si>
    <t>All text will be well alligned</t>
  </si>
  <si>
    <t>Text wrapping is not good enough</t>
  </si>
  <si>
    <t>Text wrapping error.png</t>
  </si>
  <si>
    <t>TCID 21</t>
  </si>
  <si>
    <t>TCID 22</t>
  </si>
  <si>
    <t>TCID 23</t>
  </si>
  <si>
    <t>TCID 24</t>
  </si>
  <si>
    <t>TCID 25</t>
  </si>
  <si>
    <t>TCID 26</t>
  </si>
  <si>
    <t>TCID 27</t>
  </si>
  <si>
    <t>TCID 28</t>
  </si>
  <si>
    <t>TCID 29</t>
  </si>
  <si>
    <t>TCID 30</t>
  </si>
  <si>
    <t>TCID 31</t>
  </si>
  <si>
    <t>TCID 32</t>
  </si>
  <si>
    <t>TCID 33</t>
  </si>
  <si>
    <t>TCID 34</t>
  </si>
  <si>
    <t>TCID 35</t>
  </si>
  <si>
    <t>TCID 36</t>
  </si>
  <si>
    <t>TCID 37</t>
  </si>
  <si>
    <t>TCID 38</t>
  </si>
  <si>
    <t>TCID 39</t>
  </si>
  <si>
    <t>TCID 40</t>
  </si>
  <si>
    <t>Project Name</t>
  </si>
  <si>
    <t xml:space="preserve">Check List Author: </t>
  </si>
  <si>
    <t>Version</t>
  </si>
  <si>
    <t>Date</t>
  </si>
  <si>
    <t xml:space="preserve">Check List Summary </t>
  </si>
  <si>
    <t>Failed</t>
  </si>
  <si>
    <t>Total</t>
  </si>
  <si>
    <t>Check ID</t>
  </si>
  <si>
    <t>Scenario</t>
  </si>
  <si>
    <t>Priority</t>
  </si>
  <si>
    <t>Test Data</t>
  </si>
  <si>
    <t>Remarks</t>
  </si>
  <si>
    <t>C01</t>
  </si>
  <si>
    <t>Check Homepage Load Successfully or not</t>
  </si>
  <si>
    <t>High</t>
  </si>
  <si>
    <t>Passed</t>
  </si>
  <si>
    <t>No issues</t>
  </si>
  <si>
    <t>C02</t>
  </si>
  <si>
    <t>Medium</t>
  </si>
  <si>
    <t>C03</t>
  </si>
  <si>
    <t>Check Broken Links</t>
  </si>
  <si>
    <t>C04</t>
  </si>
  <si>
    <t>Check a Free demo request</t>
  </si>
  <si>
    <t>C05</t>
  </si>
  <si>
    <t>Check Language availability Check</t>
  </si>
  <si>
    <t>Full webpage is not converted into spanish</t>
  </si>
  <si>
    <t>C06</t>
  </si>
  <si>
    <t xml:space="preserve">Check Form Submission </t>
  </si>
  <si>
    <t>C07</t>
  </si>
  <si>
    <t>Check Search Functionality</t>
  </si>
  <si>
    <t>Low</t>
  </si>
  <si>
    <t>SEO is not good enough</t>
  </si>
  <si>
    <t>C08</t>
  </si>
  <si>
    <t>Check the Footer Links</t>
  </si>
  <si>
    <t>C09</t>
  </si>
  <si>
    <t>C10</t>
  </si>
  <si>
    <t xml:space="preserve">Check Document Download </t>
  </si>
  <si>
    <t>C11</t>
  </si>
  <si>
    <t>check Mobile Responsiveness</t>
  </si>
  <si>
    <t>C12</t>
  </si>
  <si>
    <t>check Image rendering</t>
  </si>
  <si>
    <t>Image size should be iincreased</t>
  </si>
  <si>
    <t>C13</t>
  </si>
  <si>
    <t>check text Readability</t>
  </si>
  <si>
    <t>C14</t>
  </si>
  <si>
    <t>Check Page Load Speed</t>
  </si>
  <si>
    <t>C15</t>
  </si>
  <si>
    <t>overall performance is 50% ,
Should be avobe 80%</t>
  </si>
  <si>
    <t>C16</t>
  </si>
  <si>
    <t>C17</t>
  </si>
  <si>
    <t>C18</t>
  </si>
  <si>
    <t>check Input validation</t>
  </si>
  <si>
    <t>Change the phone number input type from text to number</t>
  </si>
  <si>
    <t>Project name</t>
  </si>
  <si>
    <t>Test case execution date</t>
  </si>
  <si>
    <t>14 -15 October,2025</t>
  </si>
  <si>
    <t>Test case author</t>
  </si>
  <si>
    <t>Test case version</t>
  </si>
  <si>
    <t>version 1.0</t>
  </si>
  <si>
    <t>Test case reviewer</t>
  </si>
  <si>
    <t xml:space="preserve">Demo Request Has not Been Received </t>
  </si>
  <si>
    <r>
      <rPr>
        <color rgb="FF000000"/>
      </rPr>
      <t xml:space="preserve">1. Go to </t>
    </r>
    <r>
      <rPr>
        <color rgb="FF1155CC"/>
        <u/>
      </rPr>
      <t>https://www.orangehrm.com/#</t>
    </r>
    <r>
      <rPr>
        <color rgb="FF000000"/>
      </rPr>
      <t xml:space="preserve">
2. Check the texts on the site</t>
    </r>
  </si>
  <si>
    <t>Http 2 pro</t>
  </si>
  <si>
    <r>
      <rPr/>
      <t xml:space="preserve">1. Go to </t>
    </r>
    <r>
      <rPr>
        <color rgb="FF1155CC"/>
        <u/>
      </rPr>
      <t xml:space="preserve">https://tools.keycdn.com/http2-test
</t>
    </r>
    <r>
      <rPr/>
      <t>2. Paste the website link and check the result</t>
    </r>
  </si>
  <si>
    <r>
      <rPr/>
      <t xml:space="preserve">1. Go to </t>
    </r>
    <r>
      <rPr>
        <color rgb="FF1155CC"/>
        <u/>
      </rPr>
      <t xml:space="preserve">https://tools.keycdn.com/http2-test
</t>
    </r>
    <r>
      <rPr/>
      <t>2. Check some linked page redirection</t>
    </r>
  </si>
  <si>
    <t>Overall summary</t>
  </si>
  <si>
    <t>Total test case</t>
  </si>
  <si>
    <t xml:space="preserve">Passed </t>
  </si>
  <si>
    <t>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</si>
</sst>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Times New Roman"/>
    </font>
    <font>
      <b/>
      <sz val="12.0"/>
      <color rgb="FF000000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>
      <u/>
      <color theme="1"/>
      <name val="Arial"/>
      <scheme val="minor"/>
    </font>
    <font>
      <color rgb="FF000000"/>
      <name val="Arial"/>
      <scheme val="minor"/>
    </font>
    <font>
      <color rgb="FF000000"/>
    </font>
    <font>
      <u/>
      <color rgb="FF0000FF"/>
    </font>
    <font>
      <b/>
      <color theme="1"/>
      <name val="Arial"/>
    </font>
    <font>
      <color theme="1"/>
      <name val="Arial"/>
    </font>
    <font>
      <color rgb="FFFF0000"/>
      <name val="Arial"/>
      <scheme val="minor"/>
    </font>
    <font>
      <b/>
      <color rgb="FF000000"/>
      <name val="Arial"/>
      <scheme val="minor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7"/>
        <bgColor theme="7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readingOrder="0"/>
    </xf>
    <xf borderId="0" fillId="3" fontId="6" numFmtId="0" xfId="0" applyFont="1"/>
    <xf borderId="0" fillId="2" fontId="1" numFmtId="0" xfId="0" applyFont="1"/>
    <xf borderId="0" fillId="0" fontId="1" numFmtId="0" xfId="0" applyFont="1"/>
    <xf borderId="0" fillId="2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4" fontId="6" numFmtId="0" xfId="0" applyAlignment="1" applyFill="1" applyFont="1">
      <alignment readingOrder="0"/>
    </xf>
    <xf borderId="0" fillId="4" fontId="6" numFmtId="0" xfId="0" applyFont="1"/>
    <xf borderId="0" fillId="5" fontId="6" numFmtId="0" xfId="0" applyAlignment="1" applyFill="1" applyFont="1">
      <alignment readingOrder="0"/>
    </xf>
    <xf borderId="0" fillId="5" fontId="6" numFmtId="0" xfId="0" applyFont="1"/>
    <xf borderId="0" fillId="6" fontId="6" numFmtId="0" xfId="0" applyAlignment="1" applyFill="1" applyFont="1">
      <alignment readingOrder="0"/>
    </xf>
    <xf borderId="0" fillId="6" fontId="6" numFmtId="0" xfId="0" applyFont="1"/>
    <xf borderId="0" fillId="7" fontId="6" numFmtId="0" xfId="0" applyAlignment="1" applyFill="1" applyFont="1">
      <alignment readingOrder="0"/>
    </xf>
    <xf borderId="0" fillId="7" fontId="6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vertical="center"/>
    </xf>
    <xf borderId="0" fillId="8" fontId="4" numFmtId="0" xfId="0" applyAlignment="1" applyFill="1" applyFont="1">
      <alignment horizontal="center" readingOrder="0"/>
    </xf>
    <xf borderId="0" fillId="8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/>
    </xf>
    <xf borderId="0" fillId="9" fontId="7" numFmtId="0" xfId="0" applyAlignment="1" applyFill="1" applyFont="1">
      <alignment horizontal="center" readingOrder="0" vertical="center"/>
    </xf>
    <xf borderId="0" fillId="10" fontId="7" numFmtId="0" xfId="0" applyAlignment="1" applyFill="1" applyFont="1">
      <alignment horizontal="center" readingOrder="0" vertical="center"/>
    </xf>
    <xf borderId="0" fillId="11" fontId="7" numFmtId="0" xfId="0" applyAlignment="1" applyFill="1" applyFont="1">
      <alignment horizontal="center" readingOrder="0" shrinkToFit="0" vertical="center" wrapText="1"/>
    </xf>
    <xf borderId="0" fillId="9" fontId="7" numFmtId="0" xfId="0" applyAlignment="1" applyFont="1">
      <alignment horizontal="center" readingOrder="0" shrinkToFit="0" vertical="center" wrapText="1"/>
    </xf>
    <xf borderId="0" fillId="9" fontId="7" numFmtId="0" xfId="0" applyAlignment="1" applyFont="1">
      <alignment horizontal="left" readingOrder="0" shrinkToFit="0" vertical="center" wrapText="1"/>
    </xf>
    <xf borderId="0" fillId="11" fontId="9" numFmtId="0" xfId="0" applyAlignment="1" applyFont="1">
      <alignment horizontal="center" readingOrder="0" shrinkToFit="0" vertical="center" wrapText="1"/>
    </xf>
    <xf borderId="0" fillId="9" fontId="10" numFmtId="0" xfId="0" applyAlignment="1" applyFont="1">
      <alignment horizontal="left" readingOrder="0" shrinkToFit="0" vertical="center" wrapText="1"/>
    </xf>
    <xf borderId="0" fillId="9" fontId="11" numFmtId="0" xfId="0" applyAlignment="1" applyFont="1">
      <alignment horizontal="left" readingOrder="0" shrinkToFit="0" vertical="center" wrapText="1"/>
    </xf>
    <xf borderId="0" fillId="9" fontId="12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8" fontId="13" numFmtId="0" xfId="0" applyAlignment="1" applyFont="1">
      <alignment horizontal="center" readingOrder="0"/>
    </xf>
    <xf borderId="0" fillId="11" fontId="13" numFmtId="0" xfId="0" applyAlignment="1" applyFont="1">
      <alignment horizontal="center" readingOrder="0"/>
    </xf>
    <xf borderId="0" fillId="8" fontId="6" numFmtId="0" xfId="0" applyAlignment="1" applyFont="1">
      <alignment horizontal="center" readingOrder="0" vertical="center"/>
    </xf>
    <xf borderId="0" fillId="11" fontId="6" numFmtId="0" xfId="0" applyAlignment="1" applyFont="1">
      <alignment horizontal="center" readingOrder="0" vertical="center"/>
    </xf>
    <xf borderId="0" fillId="12" fontId="7" numFmtId="0" xfId="0" applyAlignment="1" applyFill="1" applyFont="1">
      <alignment readingOrder="0"/>
    </xf>
    <xf borderId="0" fillId="12" fontId="7" numFmtId="0" xfId="0" applyFont="1"/>
    <xf borderId="0" fillId="4" fontId="7" numFmtId="0" xfId="0" applyAlignment="1" applyFont="1">
      <alignment readingOrder="0"/>
    </xf>
    <xf borderId="0" fillId="4" fontId="7" numFmtId="0" xfId="0" applyFont="1"/>
    <xf borderId="0" fillId="13" fontId="7" numFmtId="0" xfId="0" applyAlignment="1" applyFill="1" applyFont="1">
      <alignment readingOrder="0"/>
    </xf>
    <xf borderId="0" fillId="13" fontId="7" numFmtId="0" xfId="0" applyFont="1"/>
    <xf borderId="0" fillId="8" fontId="13" numFmtId="0" xfId="0" applyAlignment="1" applyFont="1">
      <alignment horizontal="center" readingOrder="0" vertical="bottom"/>
    </xf>
    <xf borderId="0" fillId="8" fontId="13" numFmtId="0" xfId="0" applyAlignment="1" applyFont="1">
      <alignment horizontal="center" vertical="bottom"/>
    </xf>
    <xf borderId="0" fillId="14" fontId="14" numFmtId="0" xfId="0" applyAlignment="1" applyFill="1" applyFont="1">
      <alignment horizontal="center" readingOrder="0" shrinkToFit="0" vertical="bottom" wrapText="1"/>
    </xf>
    <xf borderId="0" fillId="15" fontId="14" numFmtId="0" xfId="0" applyAlignment="1" applyFill="1" applyFont="1">
      <alignment horizontal="center" readingOrder="0" shrinkToFit="0" vertical="center" wrapText="1"/>
    </xf>
    <xf borderId="0" fillId="15" fontId="14" numFmtId="164" xfId="0" applyAlignment="1" applyFont="1" applyNumberFormat="1">
      <alignment horizontal="center" readingOrder="0" shrinkToFit="0" vertical="center" wrapText="1"/>
    </xf>
    <xf borderId="0" fillId="8" fontId="4" numFmtId="0" xfId="0" applyAlignment="1" applyFont="1">
      <alignment horizontal="center" readingOrder="0" shrinkToFit="0" vertical="center" wrapText="1"/>
    </xf>
    <xf borderId="0" fillId="11" fontId="4" numFmtId="0" xfId="0" applyAlignment="1" applyFont="1">
      <alignment horizontal="center" readingOrder="0" shrinkToFit="0" vertical="center" wrapText="1"/>
    </xf>
    <xf borderId="0" fillId="0" fontId="15" numFmtId="0" xfId="0" applyFont="1"/>
    <xf borderId="0" fillId="8" fontId="6" numFmtId="0" xfId="0" applyAlignment="1" applyFont="1">
      <alignment horizontal="center" readingOrder="0"/>
    </xf>
    <xf borderId="0" fillId="8" fontId="16" numFmtId="0" xfId="0" applyAlignment="1" applyFont="1">
      <alignment horizontal="center" readingOrder="0"/>
    </xf>
    <xf borderId="0" fillId="8" fontId="7" numFmtId="0" xfId="0" applyAlignment="1" applyFont="1">
      <alignment horizontal="center" readingOrder="0" shrinkToFit="0" wrapText="1"/>
    </xf>
    <xf borderId="0" fillId="4" fontId="15" numFmtId="0" xfId="0" applyAlignment="1" applyFont="1">
      <alignment horizontal="center" readingOrder="0" vertical="center"/>
    </xf>
    <xf borderId="0" fillId="10" fontId="7" numFmtId="0" xfId="0" applyAlignment="1" applyFont="1">
      <alignment horizontal="center" readingOrder="0" shrinkToFit="0" vertical="center" wrapText="1"/>
    </xf>
    <xf borderId="0" fillId="9" fontId="10" numFmtId="0" xfId="0" applyAlignment="1" applyFont="1">
      <alignment horizontal="center" readingOrder="0" shrinkToFit="0" vertical="center" wrapText="1"/>
    </xf>
    <xf borderId="0" fillId="9" fontId="11" numFmtId="0" xfId="0" applyAlignment="1" applyFont="1">
      <alignment horizontal="center" readingOrder="0" shrinkToFit="0" vertical="center" wrapText="1"/>
    </xf>
    <xf borderId="0" fillId="9" fontId="17" numFmtId="0" xfId="0" applyAlignment="1" applyFont="1">
      <alignment horizontal="center" readingOrder="0" shrinkToFit="0" vertical="center" wrapText="1"/>
    </xf>
    <xf borderId="0" fillId="4" fontId="15" numFmtId="0" xfId="0" applyAlignment="1" applyFont="1">
      <alignment horizontal="center" vertical="center"/>
    </xf>
    <xf borderId="0" fillId="9" fontId="7" numFmtId="0" xfId="0" applyAlignment="1" applyFont="1">
      <alignment horizontal="center" vertical="center"/>
    </xf>
    <xf borderId="0" fillId="10" fontId="7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16" fontId="15" numFmtId="0" xfId="0" applyAlignment="1" applyFill="1" applyFont="1">
      <alignment horizontal="center" readingOrder="0" vertical="center"/>
    </xf>
    <xf borderId="0" fillId="16" fontId="7" numFmtId="0" xfId="0" applyAlignment="1" applyFont="1">
      <alignment horizontal="center" readingOrder="0" vertical="center"/>
    </xf>
    <xf borderId="0" fillId="16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0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vs. Test case Summary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'Test Cases'!$J$2:$J$6</c:f>
            </c:strRef>
          </c:cat>
          <c:val>
            <c:numRef>
              <c:f>'Test Cases'!$K$2:$K$6</c:f>
              <c:numCache/>
            </c:numRef>
          </c:val>
        </c:ser>
        <c:axId val="421000615"/>
        <c:axId val="454588256"/>
      </c:barChart>
      <c:catAx>
        <c:axId val="421000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case Summary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588256"/>
      </c:catAx>
      <c:valAx>
        <c:axId val="454588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0006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vs. Check List Summary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'Check List'!$F$6:$F$8</c:f>
            </c:strRef>
          </c:cat>
          <c:val>
            <c:numRef>
              <c:f>'Check List'!$G$6:$G$8</c:f>
              <c:numCache/>
            </c:numRef>
          </c:val>
        </c:ser>
        <c:axId val="1789812600"/>
        <c:axId val="1184401057"/>
      </c:barChart>
      <c:catAx>
        <c:axId val="1789812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Check List Summary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401057"/>
      </c:catAx>
      <c:valAx>
        <c:axId val="1184401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812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981075</xdr:colOff>
      <xdr:row>53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457200</xdr:colOff>
      <xdr:row>36</xdr:row>
      <xdr:rowOff>47625</xdr:rowOff>
    </xdr:from>
    <xdr:ext cx="4581525" cy="2838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zBE_IqLjLzi_9s3wJX2wTAGWP1rQEkTO/view?usp=sharing" TargetMode="External"/><Relationship Id="rId3" Type="http://schemas.openxmlformats.org/officeDocument/2006/relationships/hyperlink" Target="https://drive.google.com/file/d/1wVN6POtEPP6ztx6FGEw4LIwhz4GQ8in8/view?usp=drive_link" TargetMode="External"/><Relationship Id="rId4" Type="http://schemas.openxmlformats.org/officeDocument/2006/relationships/hyperlink" Target="https://drive.google.com/file/d/1uDgu9tH7voZJiPAzwPlZ_JYxYERCRKbZ/view?usp=drive_link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bxuZXL08XkbJHSlQvNx0q28cCo0DbO5W/view?usp=drive_link" TargetMode="External"/><Relationship Id="rId5" Type="http://schemas.openxmlformats.org/officeDocument/2006/relationships/hyperlink" Target="https://www.orangehrm.com/" TargetMode="External"/><Relationship Id="rId6" Type="http://schemas.openxmlformats.org/officeDocument/2006/relationships/hyperlink" Target="https://tools.keycdn.com/http2-test" TargetMode="External"/><Relationship Id="rId7" Type="http://schemas.openxmlformats.org/officeDocument/2006/relationships/hyperlink" Target="https://tools.keycdn.com/http2-test" TargetMode="External"/><Relationship Id="rId8" Type="http://schemas.openxmlformats.org/officeDocument/2006/relationships/hyperlink" Target="https://drive.google.com/file/d/1LXC0tN8M3GQCo1NZpaJF9LBTyMco2xF8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BE_IqLjLzi_9s3wJX2wTAGWP1rQEkTO/view?usp=sharing" TargetMode="External"/><Relationship Id="rId2" Type="http://schemas.openxmlformats.org/officeDocument/2006/relationships/hyperlink" Target="https://drive.google.com/file/d/1wVN6POtEPP6ztx6FGEw4LIwhz4GQ8in8/view?usp=drive_link" TargetMode="External"/><Relationship Id="rId3" Type="http://schemas.openxmlformats.org/officeDocument/2006/relationships/hyperlink" Target="https://drive.google.com/file/d/1uDgu9tH7voZJiPAzwPlZ_JYxYERCRKbZ/view?usp=drive_link" TargetMode="External"/><Relationship Id="rId4" Type="http://schemas.openxmlformats.org/officeDocument/2006/relationships/hyperlink" Target="https://www.orangehrm.com/" TargetMode="External"/><Relationship Id="rId5" Type="http://schemas.openxmlformats.org/officeDocument/2006/relationships/hyperlink" Target="https://tools.keycdn.com/http2-test" TargetMode="External"/><Relationship Id="rId6" Type="http://schemas.openxmlformats.org/officeDocument/2006/relationships/hyperlink" Target="https://tools.keycdn.com/http2-test" TargetMode="External"/><Relationship Id="rId7" Type="http://schemas.openxmlformats.org/officeDocument/2006/relationships/hyperlink" Target="https://drive.google.com/file/d/1LXC0tN8M3GQCo1NZpaJF9LBTyMco2xF8/view?usp=drive_link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23.38"/>
    <col customWidth="1" min="2" max="2" width="18.0"/>
    <col customWidth="1" min="3" max="3" width="6.13"/>
    <col customWidth="1" min="4" max="4" width="27.13"/>
    <col customWidth="1" min="6" max="6" width="3.63"/>
    <col customWidth="1" min="7" max="7" width="31.88"/>
    <col customWidth="1" min="8" max="8" width="16.63"/>
    <col customWidth="1" min="9" max="9" width="11.75"/>
  </cols>
  <sheetData>
    <row r="1">
      <c r="A1" s="1" t="s">
        <v>0</v>
      </c>
      <c r="B1" s="1" t="s">
        <v>1</v>
      </c>
      <c r="C1" s="2"/>
      <c r="D1" s="1" t="s">
        <v>2</v>
      </c>
      <c r="E1" s="1" t="s">
        <v>3</v>
      </c>
      <c r="F1" s="2"/>
      <c r="G1" s="1" t="s">
        <v>4</v>
      </c>
      <c r="H1" s="1" t="s">
        <v>3</v>
      </c>
      <c r="I1" s="3"/>
      <c r="J1" s="4" t="s">
        <v>5</v>
      </c>
      <c r="Q1" s="5"/>
      <c r="S1" s="6"/>
    </row>
    <row r="2">
      <c r="A2" s="1" t="s">
        <v>6</v>
      </c>
      <c r="B2" s="1" t="s">
        <v>7</v>
      </c>
      <c r="C2" s="2"/>
      <c r="D2" s="1" t="s">
        <v>8</v>
      </c>
      <c r="E2" s="1" t="s">
        <v>9</v>
      </c>
      <c r="F2" s="2"/>
      <c r="G2" s="1" t="s">
        <v>10</v>
      </c>
      <c r="H2" s="1" t="s">
        <v>9</v>
      </c>
      <c r="I2" s="3"/>
      <c r="J2" s="7" t="s">
        <v>11</v>
      </c>
      <c r="K2" s="8">
        <f>COUNTIF(O12:O38,"Pass")</f>
        <v>14</v>
      </c>
      <c r="L2" s="5"/>
      <c r="Q2" s="5"/>
      <c r="S2" s="6"/>
    </row>
    <row r="3">
      <c r="A3" s="1" t="s">
        <v>12</v>
      </c>
      <c r="B3" s="9"/>
      <c r="C3" s="10"/>
      <c r="D3" s="1" t="s">
        <v>13</v>
      </c>
      <c r="E3" s="11" t="s">
        <v>14</v>
      </c>
      <c r="F3" s="12"/>
      <c r="G3" s="9"/>
      <c r="H3" s="9"/>
      <c r="I3" s="3"/>
      <c r="J3" s="13" t="s">
        <v>15</v>
      </c>
      <c r="K3" s="14">
        <f>COUNTIF(O12:O38,"Fail")</f>
        <v>1</v>
      </c>
      <c r="Q3" s="5"/>
      <c r="S3" s="6"/>
    </row>
    <row r="4">
      <c r="A4" s="1" t="s">
        <v>16</v>
      </c>
      <c r="B4" s="11" t="s">
        <v>14</v>
      </c>
      <c r="C4" s="12"/>
      <c r="D4" s="1" t="s">
        <v>17</v>
      </c>
      <c r="E4" s="11" t="s">
        <v>18</v>
      </c>
      <c r="F4" s="12"/>
      <c r="G4" s="9"/>
      <c r="H4" s="9"/>
      <c r="I4" s="3"/>
      <c r="J4" s="15" t="s">
        <v>19</v>
      </c>
      <c r="K4" s="16">
        <f>COUNTIF(O12:O38,"Warning")</f>
        <v>2</v>
      </c>
      <c r="Q4" s="5"/>
      <c r="S4" s="6"/>
    </row>
    <row r="5">
      <c r="A5" s="9"/>
      <c r="B5" s="9"/>
      <c r="C5" s="10"/>
      <c r="D5" s="9"/>
      <c r="E5" s="9"/>
      <c r="F5" s="10"/>
      <c r="G5" s="9"/>
      <c r="H5" s="9"/>
      <c r="I5" s="3"/>
      <c r="J5" s="17" t="s">
        <v>20</v>
      </c>
      <c r="K5" s="18">
        <f>COUNTIF(O12:O38,"Alert")</f>
        <v>3</v>
      </c>
      <c r="Q5" s="5"/>
      <c r="S5" s="6"/>
    </row>
    <row r="6">
      <c r="J6" s="19" t="s">
        <v>21</v>
      </c>
      <c r="K6" s="20">
        <f>SUM(K2,K3,K4,K5)</f>
        <v>20</v>
      </c>
      <c r="N6" s="6"/>
      <c r="Q6" s="21"/>
      <c r="S6" s="21"/>
      <c r="T6" s="21"/>
      <c r="V6" s="21"/>
    </row>
    <row r="7">
      <c r="Q7" s="21"/>
      <c r="S7" s="21"/>
      <c r="T7" s="21"/>
      <c r="V7" s="21"/>
    </row>
    <row r="8">
      <c r="J8" s="22"/>
      <c r="Q8" s="21"/>
      <c r="S8" s="21"/>
      <c r="T8" s="21"/>
      <c r="V8" s="21"/>
    </row>
    <row r="11">
      <c r="A11" s="23" t="s">
        <v>22</v>
      </c>
      <c r="B11" s="23" t="s">
        <v>23</v>
      </c>
      <c r="E11" s="23" t="s">
        <v>24</v>
      </c>
      <c r="H11" s="23" t="s">
        <v>25</v>
      </c>
      <c r="I11" s="23" t="s">
        <v>26</v>
      </c>
      <c r="J11" s="23" t="s">
        <v>27</v>
      </c>
      <c r="K11" s="23" t="s">
        <v>28</v>
      </c>
      <c r="M11" s="23" t="s">
        <v>29</v>
      </c>
      <c r="O11" s="23" t="s">
        <v>30</v>
      </c>
      <c r="P11" s="23" t="s">
        <v>31</v>
      </c>
      <c r="R11" s="24" t="s">
        <v>32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>
      <c r="A12" s="26" t="s">
        <v>33</v>
      </c>
      <c r="B12" s="26" t="s">
        <v>34</v>
      </c>
      <c r="E12" s="26" t="s">
        <v>35</v>
      </c>
      <c r="H12" s="26" t="s">
        <v>36</v>
      </c>
      <c r="I12" s="26" t="s">
        <v>37</v>
      </c>
      <c r="J12" s="26" t="s">
        <v>38</v>
      </c>
      <c r="K12" s="26" t="s">
        <v>39</v>
      </c>
      <c r="M12" s="26" t="s">
        <v>40</v>
      </c>
      <c r="O12" s="26" t="s">
        <v>41</v>
      </c>
      <c r="P12" s="27"/>
      <c r="R12" s="28"/>
    </row>
    <row r="13">
      <c r="A13" s="26" t="s">
        <v>42</v>
      </c>
      <c r="B13" s="29" t="s">
        <v>43</v>
      </c>
      <c r="E13" s="26" t="s">
        <v>44</v>
      </c>
      <c r="H13" s="29" t="s">
        <v>45</v>
      </c>
      <c r="I13" s="26" t="s">
        <v>37</v>
      </c>
      <c r="J13" s="26" t="s">
        <v>38</v>
      </c>
      <c r="K13" s="26" t="s">
        <v>46</v>
      </c>
      <c r="M13" s="26" t="s">
        <v>47</v>
      </c>
      <c r="O13" s="26" t="s">
        <v>41</v>
      </c>
      <c r="P13" s="27"/>
      <c r="R13" s="28"/>
    </row>
    <row r="14">
      <c r="A14" s="26" t="s">
        <v>48</v>
      </c>
      <c r="B14" s="26" t="s">
        <v>49</v>
      </c>
      <c r="E14" s="26" t="s">
        <v>50</v>
      </c>
      <c r="H14" s="30" t="s">
        <v>51</v>
      </c>
      <c r="I14" s="26" t="s">
        <v>37</v>
      </c>
      <c r="J14" s="26" t="s">
        <v>38</v>
      </c>
      <c r="K14" s="29" t="s">
        <v>52</v>
      </c>
      <c r="M14" s="26" t="s">
        <v>53</v>
      </c>
      <c r="O14" s="26" t="s">
        <v>41</v>
      </c>
      <c r="P14" s="27"/>
      <c r="R14" s="28"/>
    </row>
    <row r="15">
      <c r="A15" s="26" t="s">
        <v>54</v>
      </c>
      <c r="B15" s="26" t="s">
        <v>55</v>
      </c>
      <c r="E15" s="29" t="s">
        <v>56</v>
      </c>
      <c r="H15" s="30" t="s">
        <v>57</v>
      </c>
      <c r="I15" s="26" t="s">
        <v>37</v>
      </c>
      <c r="J15" s="29" t="s">
        <v>58</v>
      </c>
      <c r="K15" s="29" t="s">
        <v>59</v>
      </c>
      <c r="M15" s="26" t="s">
        <v>53</v>
      </c>
      <c r="O15" s="26" t="s">
        <v>41</v>
      </c>
      <c r="P15" s="27"/>
      <c r="R15" s="28"/>
    </row>
    <row r="16">
      <c r="A16" s="26" t="s">
        <v>60</v>
      </c>
      <c r="B16" s="26" t="s">
        <v>61</v>
      </c>
      <c r="E16" s="26" t="s">
        <v>62</v>
      </c>
      <c r="H16" s="30" t="s">
        <v>63</v>
      </c>
      <c r="I16" s="26" t="s">
        <v>37</v>
      </c>
      <c r="J16" s="26" t="s">
        <v>64</v>
      </c>
      <c r="K16" s="29" t="s">
        <v>65</v>
      </c>
      <c r="M16" s="29" t="s">
        <v>66</v>
      </c>
      <c r="O16" s="26" t="s">
        <v>19</v>
      </c>
      <c r="P16" s="27"/>
      <c r="R16" s="31" t="s">
        <v>67</v>
      </c>
    </row>
    <row r="17">
      <c r="A17" s="26" t="s">
        <v>68</v>
      </c>
      <c r="B17" s="26" t="s">
        <v>69</v>
      </c>
      <c r="E17" s="26" t="s">
        <v>56</v>
      </c>
      <c r="H17" s="30" t="s">
        <v>70</v>
      </c>
      <c r="I17" s="26" t="s">
        <v>37</v>
      </c>
      <c r="J17" s="26" t="s">
        <v>71</v>
      </c>
      <c r="K17" s="29" t="s">
        <v>72</v>
      </c>
      <c r="M17" s="26" t="s">
        <v>73</v>
      </c>
      <c r="O17" s="26" t="s">
        <v>41</v>
      </c>
      <c r="P17" s="27"/>
      <c r="R17" s="28"/>
    </row>
    <row r="18">
      <c r="A18" s="26" t="s">
        <v>74</v>
      </c>
      <c r="B18" s="26" t="s">
        <v>75</v>
      </c>
      <c r="E18" s="26" t="s">
        <v>76</v>
      </c>
      <c r="H18" s="30" t="s">
        <v>77</v>
      </c>
      <c r="I18" s="26" t="s">
        <v>37</v>
      </c>
      <c r="J18" s="26" t="s">
        <v>71</v>
      </c>
      <c r="K18" s="29" t="s">
        <v>78</v>
      </c>
      <c r="M18" s="26" t="s">
        <v>79</v>
      </c>
      <c r="O18" s="26" t="s">
        <v>80</v>
      </c>
      <c r="P18" s="27"/>
      <c r="R18" s="31" t="s">
        <v>81</v>
      </c>
    </row>
    <row r="19">
      <c r="A19" s="26" t="s">
        <v>82</v>
      </c>
      <c r="B19" s="26" t="s">
        <v>83</v>
      </c>
      <c r="E19" s="26" t="s">
        <v>84</v>
      </c>
      <c r="H19" s="30" t="s">
        <v>85</v>
      </c>
      <c r="I19" s="26" t="s">
        <v>86</v>
      </c>
      <c r="J19" s="26" t="s">
        <v>71</v>
      </c>
      <c r="K19" s="26" t="s">
        <v>87</v>
      </c>
      <c r="M19" s="26" t="s">
        <v>53</v>
      </c>
      <c r="O19" s="26" t="s">
        <v>41</v>
      </c>
      <c r="P19" s="27"/>
      <c r="R19" s="28"/>
    </row>
    <row r="20">
      <c r="A20" s="26" t="s">
        <v>88</v>
      </c>
      <c r="B20" s="26" t="s">
        <v>89</v>
      </c>
      <c r="E20" s="26" t="s">
        <v>90</v>
      </c>
      <c r="H20" s="30" t="s">
        <v>91</v>
      </c>
      <c r="I20" s="26" t="s">
        <v>86</v>
      </c>
      <c r="J20" s="26" t="s">
        <v>71</v>
      </c>
      <c r="K20" s="29" t="s">
        <v>92</v>
      </c>
      <c r="M20" s="29" t="s">
        <v>93</v>
      </c>
      <c r="O20" s="26" t="s">
        <v>41</v>
      </c>
      <c r="P20" s="27"/>
      <c r="R20" s="28"/>
    </row>
    <row r="21">
      <c r="A21" s="26" t="s">
        <v>94</v>
      </c>
      <c r="B21" s="26" t="s">
        <v>95</v>
      </c>
      <c r="E21" s="26" t="s">
        <v>56</v>
      </c>
      <c r="H21" s="30" t="s">
        <v>96</v>
      </c>
      <c r="I21" s="26" t="s">
        <v>86</v>
      </c>
      <c r="J21" s="26" t="s">
        <v>71</v>
      </c>
      <c r="K21" s="26" t="s">
        <v>97</v>
      </c>
      <c r="M21" s="26" t="s">
        <v>98</v>
      </c>
      <c r="O21" s="26" t="s">
        <v>41</v>
      </c>
      <c r="P21" s="27"/>
      <c r="R21" s="28"/>
    </row>
    <row r="22">
      <c r="A22" s="26" t="s">
        <v>99</v>
      </c>
      <c r="B22" s="26" t="s">
        <v>100</v>
      </c>
      <c r="E22" s="29" t="s">
        <v>101</v>
      </c>
      <c r="H22" s="30" t="s">
        <v>102</v>
      </c>
      <c r="I22" s="26" t="s">
        <v>86</v>
      </c>
      <c r="J22" s="29" t="s">
        <v>103</v>
      </c>
      <c r="K22" s="29" t="s">
        <v>104</v>
      </c>
      <c r="M22" s="29" t="s">
        <v>105</v>
      </c>
      <c r="O22" s="26" t="s">
        <v>41</v>
      </c>
      <c r="P22" s="27"/>
      <c r="R22" s="28"/>
    </row>
    <row r="23">
      <c r="A23" s="26" t="s">
        <v>106</v>
      </c>
      <c r="B23" s="26" t="s">
        <v>107</v>
      </c>
      <c r="E23" s="26" t="s">
        <v>35</v>
      </c>
      <c r="H23" s="32" t="s">
        <v>108</v>
      </c>
      <c r="I23" s="26" t="s">
        <v>86</v>
      </c>
      <c r="J23" s="26" t="s">
        <v>71</v>
      </c>
      <c r="K23" s="29" t="s">
        <v>109</v>
      </c>
      <c r="M23" s="29" t="s">
        <v>110</v>
      </c>
      <c r="O23" s="26" t="s">
        <v>19</v>
      </c>
      <c r="P23" s="27"/>
      <c r="R23" s="31" t="s">
        <v>111</v>
      </c>
    </row>
    <row r="24">
      <c r="A24" s="26" t="s">
        <v>112</v>
      </c>
      <c r="B24" s="26" t="s">
        <v>113</v>
      </c>
      <c r="E24" s="26" t="s">
        <v>35</v>
      </c>
      <c r="H24" s="33" t="s">
        <v>114</v>
      </c>
      <c r="I24" s="26" t="s">
        <v>86</v>
      </c>
      <c r="J24" s="26" t="s">
        <v>71</v>
      </c>
      <c r="K24" s="29" t="s">
        <v>115</v>
      </c>
      <c r="M24" s="29" t="s">
        <v>116</v>
      </c>
      <c r="O24" s="26" t="s">
        <v>41</v>
      </c>
      <c r="P24" s="27"/>
      <c r="R24" s="28"/>
    </row>
    <row r="25">
      <c r="A25" s="26" t="s">
        <v>117</v>
      </c>
      <c r="B25" s="26" t="s">
        <v>118</v>
      </c>
      <c r="E25" s="26" t="s">
        <v>35</v>
      </c>
      <c r="H25" s="30" t="s">
        <v>119</v>
      </c>
      <c r="I25" s="26" t="s">
        <v>86</v>
      </c>
      <c r="J25" s="26" t="s">
        <v>71</v>
      </c>
      <c r="K25" s="26" t="s">
        <v>120</v>
      </c>
      <c r="M25" s="26" t="s">
        <v>121</v>
      </c>
      <c r="O25" s="26" t="s">
        <v>41</v>
      </c>
      <c r="P25" s="27"/>
      <c r="R25" s="28"/>
    </row>
    <row r="26">
      <c r="A26" s="26" t="s">
        <v>122</v>
      </c>
      <c r="B26" s="26" t="s">
        <v>123</v>
      </c>
      <c r="E26" s="26" t="s">
        <v>35</v>
      </c>
      <c r="H26" s="30" t="s">
        <v>124</v>
      </c>
      <c r="I26" s="26" t="s">
        <v>86</v>
      </c>
      <c r="J26" s="26" t="s">
        <v>71</v>
      </c>
      <c r="K26" s="26" t="s">
        <v>125</v>
      </c>
      <c r="M26" s="26" t="s">
        <v>126</v>
      </c>
      <c r="O26" s="26" t="s">
        <v>20</v>
      </c>
      <c r="P26" s="27"/>
      <c r="R26" s="28"/>
    </row>
    <row r="27">
      <c r="A27" s="26" t="s">
        <v>127</v>
      </c>
      <c r="B27" s="26" t="s">
        <v>128</v>
      </c>
      <c r="E27" s="26" t="s">
        <v>129</v>
      </c>
      <c r="H27" s="34" t="s">
        <v>130</v>
      </c>
      <c r="I27" s="26" t="s">
        <v>86</v>
      </c>
      <c r="J27" s="26" t="s">
        <v>71</v>
      </c>
      <c r="K27" s="29" t="s">
        <v>131</v>
      </c>
      <c r="M27" s="26" t="s">
        <v>132</v>
      </c>
      <c r="O27" s="26" t="s">
        <v>41</v>
      </c>
      <c r="P27" s="27"/>
      <c r="R27" s="28"/>
    </row>
    <row r="28">
      <c r="A28" s="26" t="s">
        <v>133</v>
      </c>
      <c r="B28" s="26" t="s">
        <v>134</v>
      </c>
      <c r="E28" s="26" t="s">
        <v>35</v>
      </c>
      <c r="H28" s="34" t="s">
        <v>135</v>
      </c>
      <c r="I28" s="26" t="s">
        <v>86</v>
      </c>
      <c r="J28" s="26" t="s">
        <v>71</v>
      </c>
      <c r="K28" s="26" t="s">
        <v>136</v>
      </c>
      <c r="M28" s="26" t="s">
        <v>137</v>
      </c>
      <c r="O28" s="26" t="s">
        <v>41</v>
      </c>
      <c r="P28" s="27"/>
      <c r="R28" s="28"/>
    </row>
    <row r="29">
      <c r="A29" s="26" t="s">
        <v>138</v>
      </c>
      <c r="B29" s="26" t="s">
        <v>139</v>
      </c>
      <c r="E29" s="26" t="s">
        <v>35</v>
      </c>
      <c r="H29" s="30" t="s">
        <v>140</v>
      </c>
      <c r="I29" s="26" t="s">
        <v>86</v>
      </c>
      <c r="J29" s="26" t="s">
        <v>71</v>
      </c>
      <c r="K29" s="29" t="s">
        <v>141</v>
      </c>
      <c r="M29" s="29" t="s">
        <v>142</v>
      </c>
      <c r="O29" s="26" t="s">
        <v>20</v>
      </c>
      <c r="P29" s="27"/>
      <c r="R29" s="31" t="s">
        <v>143</v>
      </c>
    </row>
    <row r="30">
      <c r="A30" s="26" t="s">
        <v>144</v>
      </c>
      <c r="B30" s="26" t="s">
        <v>145</v>
      </c>
      <c r="E30" s="26" t="s">
        <v>35</v>
      </c>
      <c r="H30" s="30" t="s">
        <v>146</v>
      </c>
      <c r="I30" s="26" t="s">
        <v>147</v>
      </c>
      <c r="J30" s="26" t="s">
        <v>71</v>
      </c>
      <c r="K30" s="29" t="s">
        <v>148</v>
      </c>
      <c r="M30" s="29" t="s">
        <v>149</v>
      </c>
      <c r="O30" s="26" t="s">
        <v>41</v>
      </c>
      <c r="P30" s="27"/>
      <c r="R30" s="28"/>
      <c r="T30" s="35"/>
    </row>
    <row r="31">
      <c r="A31" s="26" t="s">
        <v>150</v>
      </c>
      <c r="B31" s="26" t="s">
        <v>151</v>
      </c>
      <c r="E31" s="26" t="s">
        <v>35</v>
      </c>
      <c r="H31" s="30" t="s">
        <v>152</v>
      </c>
      <c r="I31" s="26" t="s">
        <v>153</v>
      </c>
      <c r="J31" s="26" t="s">
        <v>71</v>
      </c>
      <c r="K31" s="29" t="s">
        <v>154</v>
      </c>
      <c r="M31" s="29" t="s">
        <v>155</v>
      </c>
      <c r="O31" s="26" t="s">
        <v>20</v>
      </c>
      <c r="P31" s="27"/>
      <c r="R31" s="31" t="s">
        <v>156</v>
      </c>
      <c r="T31" s="35"/>
    </row>
    <row r="32">
      <c r="A32" s="26" t="s">
        <v>157</v>
      </c>
      <c r="B32" s="26"/>
      <c r="E32" s="26"/>
      <c r="H32" s="30"/>
      <c r="I32" s="26"/>
      <c r="J32" s="26"/>
      <c r="K32" s="29"/>
      <c r="M32" s="29"/>
      <c r="O32" s="26"/>
      <c r="P32" s="27"/>
      <c r="R32" s="28"/>
      <c r="T32" s="35"/>
    </row>
    <row r="33">
      <c r="A33" s="26" t="s">
        <v>158</v>
      </c>
      <c r="B33" s="26"/>
      <c r="E33" s="26"/>
      <c r="H33" s="30"/>
      <c r="I33" s="26"/>
      <c r="J33" s="26"/>
      <c r="K33" s="29"/>
      <c r="M33" s="29"/>
      <c r="O33" s="26"/>
      <c r="P33" s="27"/>
      <c r="R33" s="28"/>
      <c r="T33" s="35"/>
    </row>
    <row r="34">
      <c r="A34" s="26" t="s">
        <v>159</v>
      </c>
      <c r="B34" s="26"/>
      <c r="E34" s="26"/>
      <c r="H34" s="30"/>
      <c r="I34" s="26"/>
      <c r="J34" s="26"/>
      <c r="K34" s="29"/>
      <c r="M34" s="29"/>
      <c r="O34" s="26"/>
      <c r="P34" s="27"/>
      <c r="R34" s="28"/>
      <c r="T34" s="35"/>
    </row>
    <row r="35">
      <c r="A35" s="26" t="s">
        <v>160</v>
      </c>
      <c r="B35" s="26"/>
      <c r="E35" s="26"/>
      <c r="H35" s="30"/>
      <c r="I35" s="26"/>
      <c r="J35" s="26"/>
      <c r="K35" s="29"/>
      <c r="M35" s="29"/>
      <c r="O35" s="26"/>
      <c r="P35" s="27"/>
      <c r="R35" s="28"/>
      <c r="T35" s="35"/>
    </row>
    <row r="36">
      <c r="A36" s="26" t="s">
        <v>161</v>
      </c>
      <c r="B36" s="26"/>
      <c r="E36" s="26"/>
      <c r="H36" s="30"/>
      <c r="I36" s="26"/>
      <c r="J36" s="26"/>
      <c r="K36" s="29"/>
      <c r="M36" s="29"/>
      <c r="O36" s="26"/>
      <c r="P36" s="27"/>
      <c r="R36" s="28"/>
      <c r="T36" s="35"/>
    </row>
    <row r="37">
      <c r="A37" s="26" t="s">
        <v>162</v>
      </c>
      <c r="B37" s="26"/>
      <c r="E37" s="26"/>
      <c r="H37" s="30"/>
      <c r="I37" s="26"/>
      <c r="J37" s="26"/>
      <c r="K37" s="29"/>
      <c r="M37" s="29"/>
      <c r="O37" s="26"/>
      <c r="P37" s="27"/>
      <c r="R37" s="28"/>
      <c r="T37" s="35"/>
    </row>
    <row r="38">
      <c r="A38" s="26" t="s">
        <v>163</v>
      </c>
      <c r="B38" s="26"/>
      <c r="E38" s="26"/>
      <c r="H38" s="30"/>
      <c r="I38" s="26"/>
      <c r="J38" s="26"/>
      <c r="K38" s="29"/>
      <c r="M38" s="29"/>
      <c r="O38" s="26"/>
      <c r="P38" s="27"/>
      <c r="R38" s="28"/>
      <c r="T38" s="35"/>
    </row>
    <row r="39">
      <c r="A39" s="26" t="s">
        <v>164</v>
      </c>
      <c r="B39" s="26"/>
      <c r="E39" s="26"/>
      <c r="H39" s="30"/>
      <c r="I39" s="26"/>
      <c r="J39" s="26"/>
      <c r="K39" s="29"/>
      <c r="M39" s="29"/>
      <c r="O39" s="26"/>
      <c r="P39" s="27"/>
      <c r="R39" s="28"/>
      <c r="T39" s="35"/>
    </row>
    <row r="40">
      <c r="A40" s="26" t="s">
        <v>165</v>
      </c>
      <c r="B40" s="26"/>
      <c r="E40" s="26"/>
      <c r="H40" s="30"/>
      <c r="I40" s="26"/>
      <c r="J40" s="26"/>
      <c r="K40" s="29"/>
      <c r="M40" s="29"/>
      <c r="O40" s="26"/>
      <c r="P40" s="27"/>
      <c r="R40" s="28"/>
      <c r="T40" s="35"/>
    </row>
    <row r="41">
      <c r="A41" s="26" t="s">
        <v>166</v>
      </c>
      <c r="B41" s="26"/>
      <c r="E41" s="26"/>
      <c r="H41" s="30"/>
      <c r="I41" s="26"/>
      <c r="J41" s="26"/>
      <c r="K41" s="29"/>
      <c r="M41" s="29"/>
      <c r="O41" s="26"/>
      <c r="P41" s="27"/>
      <c r="R41" s="28"/>
      <c r="T41" s="35"/>
    </row>
    <row r="42">
      <c r="A42" s="26" t="s">
        <v>167</v>
      </c>
      <c r="B42" s="26"/>
      <c r="E42" s="26"/>
      <c r="H42" s="30"/>
      <c r="I42" s="26"/>
      <c r="J42" s="26"/>
      <c r="K42" s="29"/>
      <c r="M42" s="29"/>
      <c r="O42" s="26"/>
      <c r="P42" s="27"/>
      <c r="R42" s="28"/>
      <c r="T42" s="35"/>
    </row>
    <row r="43">
      <c r="A43" s="26" t="s">
        <v>168</v>
      </c>
      <c r="B43" s="26"/>
      <c r="E43" s="26"/>
      <c r="H43" s="30"/>
      <c r="I43" s="26"/>
      <c r="J43" s="26"/>
      <c r="K43" s="29"/>
      <c r="M43" s="29"/>
      <c r="O43" s="26"/>
      <c r="P43" s="27"/>
      <c r="R43" s="28"/>
      <c r="T43" s="35"/>
    </row>
    <row r="44">
      <c r="A44" s="26" t="s">
        <v>169</v>
      </c>
      <c r="B44" s="26"/>
      <c r="E44" s="26"/>
      <c r="H44" s="30"/>
      <c r="I44" s="26"/>
      <c r="J44" s="26"/>
      <c r="K44" s="29"/>
      <c r="M44" s="29"/>
      <c r="O44" s="26"/>
      <c r="P44" s="27"/>
      <c r="R44" s="28"/>
      <c r="T44" s="35"/>
    </row>
    <row r="45">
      <c r="A45" s="26" t="s">
        <v>170</v>
      </c>
      <c r="B45" s="26"/>
      <c r="E45" s="26"/>
      <c r="H45" s="30"/>
      <c r="I45" s="26"/>
      <c r="J45" s="26"/>
      <c r="K45" s="29"/>
      <c r="M45" s="29"/>
      <c r="O45" s="26"/>
      <c r="P45" s="27"/>
      <c r="R45" s="28"/>
      <c r="T45" s="35"/>
    </row>
    <row r="46">
      <c r="A46" s="26" t="s">
        <v>171</v>
      </c>
      <c r="B46" s="26"/>
      <c r="E46" s="26"/>
      <c r="H46" s="30"/>
      <c r="I46" s="26"/>
      <c r="J46" s="26"/>
      <c r="K46" s="29"/>
      <c r="M46" s="29"/>
      <c r="O46" s="26"/>
      <c r="P46" s="27"/>
      <c r="R46" s="28"/>
      <c r="T46" s="35"/>
    </row>
    <row r="47">
      <c r="A47" s="26" t="s">
        <v>172</v>
      </c>
      <c r="B47" s="26"/>
      <c r="E47" s="26"/>
      <c r="H47" s="30"/>
      <c r="I47" s="26"/>
      <c r="J47" s="26"/>
      <c r="K47" s="29"/>
      <c r="M47" s="29"/>
      <c r="O47" s="26"/>
      <c r="P47" s="27"/>
      <c r="R47" s="28"/>
    </row>
    <row r="48">
      <c r="A48" s="26" t="s">
        <v>173</v>
      </c>
      <c r="B48" s="26"/>
      <c r="E48" s="26"/>
      <c r="H48" s="30"/>
      <c r="I48" s="26"/>
      <c r="J48" s="26"/>
      <c r="K48" s="29"/>
      <c r="M48" s="29"/>
      <c r="O48" s="26"/>
      <c r="P48" s="27"/>
      <c r="R48" s="28"/>
    </row>
    <row r="49">
      <c r="A49" s="26" t="s">
        <v>174</v>
      </c>
      <c r="B49" s="26"/>
      <c r="E49" s="26"/>
      <c r="H49" s="30"/>
      <c r="I49" s="26"/>
      <c r="J49" s="26"/>
      <c r="K49" s="29"/>
      <c r="M49" s="29"/>
      <c r="O49" s="26"/>
      <c r="P49" s="27"/>
      <c r="R49" s="28"/>
    </row>
    <row r="50">
      <c r="A50" s="26" t="s">
        <v>175</v>
      </c>
      <c r="B50" s="26"/>
      <c r="E50" s="26"/>
      <c r="H50" s="30"/>
      <c r="I50" s="26"/>
      <c r="J50" s="26"/>
      <c r="K50" s="29"/>
      <c r="M50" s="29"/>
      <c r="O50" s="26"/>
      <c r="P50" s="27"/>
      <c r="R50" s="28"/>
    </row>
    <row r="51">
      <c r="A51" s="26" t="s">
        <v>176</v>
      </c>
      <c r="B51" s="26"/>
      <c r="E51" s="26"/>
      <c r="H51" s="30"/>
      <c r="I51" s="26"/>
      <c r="J51" s="26"/>
      <c r="K51" s="29"/>
      <c r="M51" s="29"/>
      <c r="O51" s="26"/>
      <c r="P51" s="27"/>
      <c r="R51" s="28"/>
    </row>
    <row r="52">
      <c r="O52" s="36"/>
      <c r="P52" s="36"/>
    </row>
    <row r="53">
      <c r="O53" s="36"/>
      <c r="P53" s="36"/>
    </row>
    <row r="54">
      <c r="O54" s="36"/>
      <c r="P54" s="36"/>
    </row>
    <row r="55">
      <c r="O55" s="36"/>
      <c r="P55" s="36"/>
    </row>
    <row r="56">
      <c r="O56" s="36"/>
      <c r="P56" s="36"/>
    </row>
    <row r="57">
      <c r="O57" s="36"/>
      <c r="P57" s="36"/>
    </row>
    <row r="58">
      <c r="O58" s="36"/>
      <c r="P58" s="36"/>
    </row>
    <row r="59">
      <c r="O59" s="36"/>
      <c r="P59" s="36"/>
    </row>
    <row r="60">
      <c r="H60" s="37"/>
      <c r="J60" s="37"/>
      <c r="O60" s="36"/>
      <c r="P60" s="36"/>
    </row>
    <row r="61">
      <c r="H61" s="37"/>
      <c r="J61" s="37"/>
      <c r="O61" s="36"/>
      <c r="P61" s="36"/>
    </row>
    <row r="62">
      <c r="O62" s="36"/>
      <c r="P62" s="36"/>
    </row>
    <row r="63">
      <c r="O63" s="36"/>
      <c r="P63" s="36"/>
    </row>
    <row r="64">
      <c r="O64" s="36"/>
      <c r="P64" s="36"/>
    </row>
    <row r="65">
      <c r="O65" s="36"/>
      <c r="P65" s="36"/>
    </row>
    <row r="66">
      <c r="O66" s="36"/>
      <c r="P66" s="36"/>
    </row>
    <row r="67">
      <c r="O67" s="36"/>
      <c r="P67" s="36"/>
    </row>
    <row r="68">
      <c r="O68" s="36"/>
      <c r="P68" s="36"/>
    </row>
    <row r="69">
      <c r="O69" s="36"/>
      <c r="P69" s="36"/>
    </row>
    <row r="70">
      <c r="O70" s="36"/>
      <c r="P70" s="36"/>
    </row>
    <row r="71">
      <c r="O71" s="36"/>
      <c r="P71" s="36"/>
    </row>
    <row r="72">
      <c r="O72" s="36"/>
      <c r="P72" s="36"/>
    </row>
    <row r="73">
      <c r="O73" s="36"/>
      <c r="P73" s="36"/>
    </row>
    <row r="74">
      <c r="O74" s="36"/>
      <c r="P74" s="36"/>
    </row>
    <row r="75">
      <c r="O75" s="36"/>
      <c r="P75" s="36"/>
    </row>
    <row r="76">
      <c r="O76" s="36"/>
      <c r="P76" s="36"/>
    </row>
    <row r="77">
      <c r="O77" s="36"/>
      <c r="P77" s="36"/>
    </row>
    <row r="78">
      <c r="O78" s="36"/>
      <c r="P78" s="36"/>
    </row>
    <row r="79">
      <c r="O79" s="36"/>
      <c r="P79" s="36"/>
    </row>
    <row r="80">
      <c r="O80" s="36"/>
      <c r="P80" s="36"/>
    </row>
    <row r="81">
      <c r="O81" s="36"/>
      <c r="P81" s="36"/>
    </row>
    <row r="82">
      <c r="O82" s="36"/>
      <c r="P82" s="36"/>
    </row>
    <row r="83">
      <c r="O83" s="36"/>
      <c r="P83" s="36"/>
    </row>
    <row r="84">
      <c r="O84" s="36"/>
      <c r="P84" s="36"/>
    </row>
    <row r="85">
      <c r="O85" s="36"/>
      <c r="P85" s="36"/>
    </row>
    <row r="86">
      <c r="O86" s="36"/>
      <c r="P86" s="36"/>
    </row>
    <row r="87">
      <c r="O87" s="36"/>
      <c r="P87" s="36"/>
    </row>
    <row r="88">
      <c r="O88" s="36"/>
      <c r="P88" s="36"/>
    </row>
    <row r="89">
      <c r="O89" s="36"/>
      <c r="P89" s="36"/>
    </row>
    <row r="90">
      <c r="O90" s="36"/>
      <c r="P90" s="36"/>
    </row>
    <row r="91">
      <c r="O91" s="36"/>
      <c r="P91" s="36"/>
    </row>
    <row r="92">
      <c r="O92" s="36"/>
      <c r="P92" s="36"/>
    </row>
    <row r="93">
      <c r="O93" s="36"/>
      <c r="P93" s="36"/>
    </row>
  </sheetData>
  <mergeCells count="287">
    <mergeCell ref="B36:D36"/>
    <mergeCell ref="B37:D37"/>
    <mergeCell ref="B38:D38"/>
    <mergeCell ref="B39:D39"/>
    <mergeCell ref="B40:D40"/>
    <mergeCell ref="B41:D41"/>
    <mergeCell ref="B42:D42"/>
    <mergeCell ref="B50:D50"/>
    <mergeCell ref="B51:D51"/>
    <mergeCell ref="B43:D43"/>
    <mergeCell ref="B44:D44"/>
    <mergeCell ref="B45:D45"/>
    <mergeCell ref="B46:D46"/>
    <mergeCell ref="B47:D47"/>
    <mergeCell ref="B48:D48"/>
    <mergeCell ref="B49:D49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B14:D14"/>
    <mergeCell ref="B15:D15"/>
    <mergeCell ref="E15:G15"/>
    <mergeCell ref="B16:D16"/>
    <mergeCell ref="E16:G16"/>
    <mergeCell ref="B17:D17"/>
    <mergeCell ref="E17:G17"/>
    <mergeCell ref="B19:D19"/>
    <mergeCell ref="E19:G19"/>
    <mergeCell ref="B20:D20"/>
    <mergeCell ref="E20:G20"/>
    <mergeCell ref="B21:D21"/>
    <mergeCell ref="E21:G21"/>
    <mergeCell ref="E22:G22"/>
    <mergeCell ref="B22:D22"/>
    <mergeCell ref="B23:D23"/>
    <mergeCell ref="B24:D24"/>
    <mergeCell ref="B25:D25"/>
    <mergeCell ref="B26:D26"/>
    <mergeCell ref="B27:D27"/>
    <mergeCell ref="B28:D28"/>
    <mergeCell ref="E23:G23"/>
    <mergeCell ref="E24:G24"/>
    <mergeCell ref="E25:G25"/>
    <mergeCell ref="E26:G26"/>
    <mergeCell ref="E27:G27"/>
    <mergeCell ref="E28:G28"/>
    <mergeCell ref="E29:G29"/>
    <mergeCell ref="B29:D29"/>
    <mergeCell ref="B30:D30"/>
    <mergeCell ref="B31:D31"/>
    <mergeCell ref="B32:D32"/>
    <mergeCell ref="B33:D33"/>
    <mergeCell ref="B34:D34"/>
    <mergeCell ref="B35:D35"/>
    <mergeCell ref="E30:G30"/>
    <mergeCell ref="E31:G31"/>
    <mergeCell ref="E32:G32"/>
    <mergeCell ref="E33:G33"/>
    <mergeCell ref="E34:G34"/>
    <mergeCell ref="E35:G35"/>
    <mergeCell ref="E36:G36"/>
    <mergeCell ref="E51:G51"/>
    <mergeCell ref="H60:I60"/>
    <mergeCell ref="H61:I61"/>
    <mergeCell ref="P13:Q13"/>
    <mergeCell ref="P14:Q14"/>
    <mergeCell ref="B13:D13"/>
    <mergeCell ref="E13:G13"/>
    <mergeCell ref="M13:N13"/>
    <mergeCell ref="R13:S13"/>
    <mergeCell ref="E14:G14"/>
    <mergeCell ref="M14:N14"/>
    <mergeCell ref="R14:S14"/>
    <mergeCell ref="P15:Q15"/>
    <mergeCell ref="P16:Q16"/>
    <mergeCell ref="K13:L13"/>
    <mergeCell ref="K14:L14"/>
    <mergeCell ref="K15:L15"/>
    <mergeCell ref="M15:N15"/>
    <mergeCell ref="R15:S15"/>
    <mergeCell ref="M16:N16"/>
    <mergeCell ref="R16:S16"/>
    <mergeCell ref="J1:K1"/>
    <mergeCell ref="Q1:R1"/>
    <mergeCell ref="S1:T1"/>
    <mergeCell ref="L2:M2"/>
    <mergeCell ref="Q2:R2"/>
    <mergeCell ref="S2:T2"/>
    <mergeCell ref="S3:T3"/>
    <mergeCell ref="T6:U6"/>
    <mergeCell ref="V6:W6"/>
    <mergeCell ref="T7:U7"/>
    <mergeCell ref="V7:W7"/>
    <mergeCell ref="T8:U8"/>
    <mergeCell ref="V8:W8"/>
    <mergeCell ref="Q3:R3"/>
    <mergeCell ref="Q4:R4"/>
    <mergeCell ref="S4:T4"/>
    <mergeCell ref="Q5:R5"/>
    <mergeCell ref="S5:T5"/>
    <mergeCell ref="N6:O6"/>
    <mergeCell ref="Q6:R6"/>
    <mergeCell ref="Q7:R7"/>
    <mergeCell ref="Q8:R8"/>
    <mergeCell ref="E11:G11"/>
    <mergeCell ref="K11:L11"/>
    <mergeCell ref="M11:N11"/>
    <mergeCell ref="P11:Q11"/>
    <mergeCell ref="R11:S11"/>
    <mergeCell ref="B11:D11"/>
    <mergeCell ref="B12:D12"/>
    <mergeCell ref="E12:G12"/>
    <mergeCell ref="K12:L12"/>
    <mergeCell ref="M12:N12"/>
    <mergeCell ref="P12:Q12"/>
    <mergeCell ref="R12:S12"/>
    <mergeCell ref="K16:L16"/>
    <mergeCell ref="K17:L17"/>
    <mergeCell ref="M17:N17"/>
    <mergeCell ref="P17:Q17"/>
    <mergeCell ref="R17:S17"/>
    <mergeCell ref="B18:D18"/>
    <mergeCell ref="E18:G18"/>
    <mergeCell ref="K18:L18"/>
    <mergeCell ref="M18:N18"/>
    <mergeCell ref="R18:S18"/>
    <mergeCell ref="K19:L19"/>
    <mergeCell ref="M19:N19"/>
    <mergeCell ref="R19:S19"/>
    <mergeCell ref="P20:Q20"/>
    <mergeCell ref="P21:Q21"/>
    <mergeCell ref="P22:Q22"/>
    <mergeCell ref="R22:S22"/>
    <mergeCell ref="P23:Q23"/>
    <mergeCell ref="R23:S23"/>
    <mergeCell ref="P24:Q24"/>
    <mergeCell ref="R24:S24"/>
    <mergeCell ref="P18:Q18"/>
    <mergeCell ref="P19:Q19"/>
    <mergeCell ref="K20:L20"/>
    <mergeCell ref="M20:N20"/>
    <mergeCell ref="R20:S20"/>
    <mergeCell ref="M21:N21"/>
    <mergeCell ref="R21:S21"/>
    <mergeCell ref="K25:L25"/>
    <mergeCell ref="M25:N25"/>
    <mergeCell ref="P25:Q25"/>
    <mergeCell ref="R25:S25"/>
    <mergeCell ref="K21:L21"/>
    <mergeCell ref="K22:L22"/>
    <mergeCell ref="M22:N22"/>
    <mergeCell ref="K23:L23"/>
    <mergeCell ref="M23:N23"/>
    <mergeCell ref="K24:L24"/>
    <mergeCell ref="M24:N24"/>
    <mergeCell ref="K26:L26"/>
    <mergeCell ref="M26:N26"/>
    <mergeCell ref="P26:Q26"/>
    <mergeCell ref="R26:S26"/>
    <mergeCell ref="M27:N27"/>
    <mergeCell ref="P27:Q27"/>
    <mergeCell ref="R27:S27"/>
    <mergeCell ref="P29:Q29"/>
    <mergeCell ref="R29:S29"/>
    <mergeCell ref="K27:L27"/>
    <mergeCell ref="K28:L28"/>
    <mergeCell ref="M28:N28"/>
    <mergeCell ref="P28:Q28"/>
    <mergeCell ref="R28:S28"/>
    <mergeCell ref="K29:L29"/>
    <mergeCell ref="M29:N29"/>
    <mergeCell ref="P39:Q39"/>
    <mergeCell ref="P40:Q40"/>
    <mergeCell ref="R40:S40"/>
    <mergeCell ref="T40:U40"/>
    <mergeCell ref="P37:Q37"/>
    <mergeCell ref="R37:S37"/>
    <mergeCell ref="P38:Q38"/>
    <mergeCell ref="R38:S38"/>
    <mergeCell ref="T38:U38"/>
    <mergeCell ref="R39:S39"/>
    <mergeCell ref="T39:U39"/>
    <mergeCell ref="K37:L37"/>
    <mergeCell ref="K38:L38"/>
    <mergeCell ref="M38:N38"/>
    <mergeCell ref="K39:L39"/>
    <mergeCell ref="M39:N39"/>
    <mergeCell ref="K40:L40"/>
    <mergeCell ref="M40:N40"/>
    <mergeCell ref="K45:L45"/>
    <mergeCell ref="K46:L46"/>
    <mergeCell ref="K47:L47"/>
    <mergeCell ref="K48:L48"/>
    <mergeCell ref="K49:L49"/>
    <mergeCell ref="K50:L50"/>
    <mergeCell ref="K51:L51"/>
    <mergeCell ref="M46:N46"/>
    <mergeCell ref="M47:N47"/>
    <mergeCell ref="M48:N48"/>
    <mergeCell ref="M49:N49"/>
    <mergeCell ref="M50:N50"/>
    <mergeCell ref="M51:N51"/>
    <mergeCell ref="K42:L42"/>
    <mergeCell ref="M42:N42"/>
    <mergeCell ref="K43:L43"/>
    <mergeCell ref="M43:N43"/>
    <mergeCell ref="K44:L44"/>
    <mergeCell ref="M44:N44"/>
    <mergeCell ref="M45:N45"/>
    <mergeCell ref="P42:Q42"/>
    <mergeCell ref="P43:Q43"/>
    <mergeCell ref="R43:S43"/>
    <mergeCell ref="T43:U43"/>
    <mergeCell ref="P44:Q44"/>
    <mergeCell ref="R44:S44"/>
    <mergeCell ref="T44:U44"/>
    <mergeCell ref="P45:Q45"/>
    <mergeCell ref="R45:S45"/>
    <mergeCell ref="T45:U45"/>
    <mergeCell ref="P46:Q46"/>
    <mergeCell ref="R46:S46"/>
    <mergeCell ref="T46:U46"/>
    <mergeCell ref="R47:S47"/>
    <mergeCell ref="P51:Q51"/>
    <mergeCell ref="R51:S51"/>
    <mergeCell ref="P47:Q47"/>
    <mergeCell ref="P48:Q48"/>
    <mergeCell ref="R48:S48"/>
    <mergeCell ref="P49:Q49"/>
    <mergeCell ref="R49:S49"/>
    <mergeCell ref="P50:Q50"/>
    <mergeCell ref="R50:S50"/>
    <mergeCell ref="K30:L30"/>
    <mergeCell ref="M30:N30"/>
    <mergeCell ref="P30:Q30"/>
    <mergeCell ref="R30:S30"/>
    <mergeCell ref="T30:U30"/>
    <mergeCell ref="M31:N31"/>
    <mergeCell ref="T31:U31"/>
    <mergeCell ref="P33:Q33"/>
    <mergeCell ref="P34:Q34"/>
    <mergeCell ref="R34:S34"/>
    <mergeCell ref="T34:U34"/>
    <mergeCell ref="P31:Q31"/>
    <mergeCell ref="R31:S31"/>
    <mergeCell ref="P32:Q32"/>
    <mergeCell ref="R32:S32"/>
    <mergeCell ref="T32:U32"/>
    <mergeCell ref="R33:S33"/>
    <mergeCell ref="T33:U33"/>
    <mergeCell ref="K35:L35"/>
    <mergeCell ref="M35:N35"/>
    <mergeCell ref="P35:Q35"/>
    <mergeCell ref="R35:S35"/>
    <mergeCell ref="T35:U35"/>
    <mergeCell ref="K31:L31"/>
    <mergeCell ref="K32:L32"/>
    <mergeCell ref="M32:N32"/>
    <mergeCell ref="K33:L33"/>
    <mergeCell ref="M33:N33"/>
    <mergeCell ref="K34:L34"/>
    <mergeCell ref="M34:N34"/>
    <mergeCell ref="K36:L36"/>
    <mergeCell ref="M36:N36"/>
    <mergeCell ref="P36:Q36"/>
    <mergeCell ref="R36:S36"/>
    <mergeCell ref="T36:U36"/>
    <mergeCell ref="M37:N37"/>
    <mergeCell ref="T37:U37"/>
    <mergeCell ref="K41:L41"/>
    <mergeCell ref="M41:N41"/>
    <mergeCell ref="P41:Q41"/>
    <mergeCell ref="R41:S41"/>
    <mergeCell ref="T41:U41"/>
    <mergeCell ref="R42:S42"/>
    <mergeCell ref="T42:U42"/>
  </mergeCells>
  <conditionalFormatting sqref="A11:V11">
    <cfRule type="notContainsBlanks" dxfId="0" priority="1">
      <formula>LEN(TRIM(A11))&gt;0</formula>
    </cfRule>
  </conditionalFormatting>
  <dataValidations>
    <dataValidation type="list" allowBlank="1" showErrorMessage="1" sqref="O12:O51">
      <formula1>"Pass,Fail,Warning,Alert"</formula1>
    </dataValidation>
  </dataValidations>
  <hyperlinks>
    <hyperlink r:id="rId2" ref="R16"/>
    <hyperlink r:id="rId3" ref="R18"/>
    <hyperlink r:id="rId4" ref="R23"/>
    <hyperlink r:id="rId5" ref="H24"/>
    <hyperlink r:id="rId6" ref="H27"/>
    <hyperlink r:id="rId7" ref="H28"/>
    <hyperlink r:id="rId8" ref="R29"/>
    <hyperlink r:id="rId9" ref="R31"/>
  </hyperlinks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sheetData>
    <row r="1">
      <c r="B1" s="38" t="s">
        <v>177</v>
      </c>
      <c r="D1" s="39" t="s">
        <v>1</v>
      </c>
      <c r="F1" s="40" t="s">
        <v>178</v>
      </c>
      <c r="H1" s="41" t="s">
        <v>14</v>
      </c>
    </row>
    <row r="2">
      <c r="B2" s="38" t="s">
        <v>179</v>
      </c>
      <c r="D2" s="39">
        <v>1.0</v>
      </c>
      <c r="F2" s="40" t="s">
        <v>180</v>
      </c>
      <c r="H2" s="41" t="s">
        <v>9</v>
      </c>
    </row>
    <row r="5">
      <c r="F5" s="37" t="s">
        <v>181</v>
      </c>
    </row>
    <row r="6">
      <c r="F6" s="42" t="s">
        <v>41</v>
      </c>
      <c r="G6" s="43">
        <f>COUNTIF(G15:G30,"Passed")</f>
        <v>12</v>
      </c>
    </row>
    <row r="7">
      <c r="F7" s="44" t="s">
        <v>182</v>
      </c>
      <c r="G7" s="45">
        <f>COUNTIF(G15:G30,"Failed")</f>
        <v>4</v>
      </c>
    </row>
    <row r="8">
      <c r="F8" s="46" t="s">
        <v>183</v>
      </c>
      <c r="G8" s="47">
        <f>SUM(G6:G7)</f>
        <v>16</v>
      </c>
    </row>
    <row r="14">
      <c r="A14" s="48" t="s">
        <v>184</v>
      </c>
      <c r="B14" s="48" t="s">
        <v>185</v>
      </c>
      <c r="E14" s="49" t="s">
        <v>180</v>
      </c>
      <c r="F14" s="49" t="s">
        <v>186</v>
      </c>
      <c r="G14" s="49" t="s">
        <v>30</v>
      </c>
      <c r="H14" s="49" t="s">
        <v>187</v>
      </c>
      <c r="J14" s="49" t="s">
        <v>188</v>
      </c>
    </row>
    <row r="15">
      <c r="A15" s="50" t="s">
        <v>189</v>
      </c>
      <c r="B15" s="51" t="s">
        <v>190</v>
      </c>
      <c r="E15" s="52" t="s">
        <v>9</v>
      </c>
      <c r="F15" s="51" t="s">
        <v>191</v>
      </c>
      <c r="G15" s="51" t="s">
        <v>192</v>
      </c>
      <c r="H15" s="52" t="s">
        <v>9</v>
      </c>
      <c r="J15" s="51" t="s">
        <v>193</v>
      </c>
    </row>
    <row r="16">
      <c r="A16" s="50" t="s">
        <v>194</v>
      </c>
      <c r="B16" s="51" t="s">
        <v>43</v>
      </c>
      <c r="E16" s="52" t="s">
        <v>9</v>
      </c>
      <c r="F16" s="51" t="s">
        <v>195</v>
      </c>
      <c r="G16" s="51" t="s">
        <v>192</v>
      </c>
      <c r="H16" s="52" t="s">
        <v>9</v>
      </c>
      <c r="J16" s="51" t="s">
        <v>193</v>
      </c>
    </row>
    <row r="17">
      <c r="A17" s="50" t="s">
        <v>196</v>
      </c>
      <c r="B17" s="51" t="s">
        <v>197</v>
      </c>
      <c r="E17" s="52" t="s">
        <v>9</v>
      </c>
      <c r="F17" s="51" t="s">
        <v>191</v>
      </c>
      <c r="G17" s="51" t="s">
        <v>192</v>
      </c>
      <c r="H17" s="52" t="s">
        <v>9</v>
      </c>
      <c r="J17" s="51" t="s">
        <v>193</v>
      </c>
    </row>
    <row r="18">
      <c r="A18" s="50" t="s">
        <v>198</v>
      </c>
      <c r="B18" s="51" t="s">
        <v>199</v>
      </c>
      <c r="E18" s="52" t="s">
        <v>9</v>
      </c>
      <c r="F18" s="51" t="s">
        <v>191</v>
      </c>
      <c r="G18" s="51" t="s">
        <v>192</v>
      </c>
      <c r="H18" s="52" t="s">
        <v>9</v>
      </c>
      <c r="J18" s="51" t="s">
        <v>193</v>
      </c>
    </row>
    <row r="19">
      <c r="A19" s="50" t="s">
        <v>200</v>
      </c>
      <c r="B19" s="51" t="s">
        <v>201</v>
      </c>
      <c r="E19" s="52" t="s">
        <v>9</v>
      </c>
      <c r="F19" s="51" t="s">
        <v>195</v>
      </c>
      <c r="G19" s="51" t="s">
        <v>182</v>
      </c>
      <c r="H19" s="52" t="s">
        <v>9</v>
      </c>
      <c r="J19" s="51" t="s">
        <v>202</v>
      </c>
    </row>
    <row r="20">
      <c r="A20" s="50" t="s">
        <v>203</v>
      </c>
      <c r="B20" s="51" t="s">
        <v>204</v>
      </c>
      <c r="E20" s="52" t="s">
        <v>9</v>
      </c>
      <c r="F20" s="51" t="s">
        <v>191</v>
      </c>
      <c r="G20" s="51" t="s">
        <v>192</v>
      </c>
      <c r="H20" s="52" t="s">
        <v>9</v>
      </c>
      <c r="J20" s="51" t="s">
        <v>193</v>
      </c>
    </row>
    <row r="21">
      <c r="A21" s="50" t="s">
        <v>205</v>
      </c>
      <c r="B21" s="51" t="s">
        <v>206</v>
      </c>
      <c r="E21" s="52" t="s">
        <v>9</v>
      </c>
      <c r="F21" s="51" t="s">
        <v>207</v>
      </c>
      <c r="G21" s="51" t="s">
        <v>182</v>
      </c>
      <c r="H21" s="52" t="s">
        <v>9</v>
      </c>
      <c r="J21" s="51" t="s">
        <v>208</v>
      </c>
    </row>
    <row r="22">
      <c r="A22" s="50" t="s">
        <v>209</v>
      </c>
      <c r="B22" s="51" t="s">
        <v>210</v>
      </c>
      <c r="E22" s="52" t="s">
        <v>9</v>
      </c>
      <c r="F22" s="51" t="s">
        <v>195</v>
      </c>
      <c r="G22" s="51" t="s">
        <v>192</v>
      </c>
      <c r="H22" s="52" t="s">
        <v>9</v>
      </c>
      <c r="J22" s="51" t="s">
        <v>193</v>
      </c>
    </row>
    <row r="23">
      <c r="A23" s="50" t="s">
        <v>211</v>
      </c>
      <c r="B23" s="51" t="s">
        <v>89</v>
      </c>
      <c r="E23" s="52" t="s">
        <v>9</v>
      </c>
      <c r="F23" s="51" t="s">
        <v>191</v>
      </c>
      <c r="G23" s="51" t="s">
        <v>192</v>
      </c>
      <c r="H23" s="52" t="s">
        <v>9</v>
      </c>
      <c r="J23" s="51" t="s">
        <v>193</v>
      </c>
    </row>
    <row r="24">
      <c r="A24" s="50" t="s">
        <v>212</v>
      </c>
      <c r="B24" s="51" t="s">
        <v>213</v>
      </c>
      <c r="E24" s="52" t="s">
        <v>9</v>
      </c>
      <c r="F24" s="51" t="s">
        <v>207</v>
      </c>
      <c r="G24" s="51" t="s">
        <v>192</v>
      </c>
      <c r="H24" s="52" t="s">
        <v>9</v>
      </c>
      <c r="J24" s="51" t="s">
        <v>193</v>
      </c>
    </row>
    <row r="25">
      <c r="A25" s="50" t="s">
        <v>214</v>
      </c>
      <c r="B25" s="51" t="s">
        <v>215</v>
      </c>
      <c r="E25" s="52" t="s">
        <v>9</v>
      </c>
      <c r="F25" s="51" t="s">
        <v>191</v>
      </c>
      <c r="G25" s="51" t="s">
        <v>192</v>
      </c>
      <c r="H25" s="52" t="s">
        <v>9</v>
      </c>
      <c r="J25" s="51" t="s">
        <v>193</v>
      </c>
    </row>
    <row r="26">
      <c r="A26" s="50" t="s">
        <v>216</v>
      </c>
      <c r="B26" s="51" t="s">
        <v>217</v>
      </c>
      <c r="E26" s="52" t="s">
        <v>9</v>
      </c>
      <c r="F26" s="51" t="s">
        <v>195</v>
      </c>
      <c r="G26" s="51" t="s">
        <v>182</v>
      </c>
      <c r="H26" s="52" t="s">
        <v>9</v>
      </c>
      <c r="J26" s="51" t="s">
        <v>218</v>
      </c>
    </row>
    <row r="27">
      <c r="A27" s="50" t="s">
        <v>219</v>
      </c>
      <c r="B27" s="51" t="s">
        <v>220</v>
      </c>
      <c r="E27" s="52" t="s">
        <v>9</v>
      </c>
      <c r="F27" s="51" t="s">
        <v>191</v>
      </c>
      <c r="G27" s="51" t="s">
        <v>192</v>
      </c>
      <c r="H27" s="52" t="s">
        <v>9</v>
      </c>
      <c r="J27" s="51" t="s">
        <v>193</v>
      </c>
    </row>
    <row r="28">
      <c r="A28" s="50" t="s">
        <v>221</v>
      </c>
      <c r="B28" s="51" t="s">
        <v>222</v>
      </c>
      <c r="E28" s="52" t="s">
        <v>9</v>
      </c>
      <c r="F28" s="51" t="s">
        <v>195</v>
      </c>
      <c r="G28" s="51" t="s">
        <v>192</v>
      </c>
      <c r="H28" s="52" t="s">
        <v>9</v>
      </c>
      <c r="J28" s="51" t="s">
        <v>193</v>
      </c>
    </row>
    <row r="29">
      <c r="A29" s="50" t="s">
        <v>223</v>
      </c>
      <c r="B29" s="51" t="s">
        <v>123</v>
      </c>
      <c r="E29" s="52" t="s">
        <v>9</v>
      </c>
      <c r="F29" s="51" t="s">
        <v>191</v>
      </c>
      <c r="G29" s="51" t="s">
        <v>182</v>
      </c>
      <c r="H29" s="52" t="s">
        <v>9</v>
      </c>
      <c r="J29" s="51" t="s">
        <v>224</v>
      </c>
    </row>
    <row r="30">
      <c r="A30" s="50" t="s">
        <v>225</v>
      </c>
      <c r="B30" s="51" t="s">
        <v>128</v>
      </c>
      <c r="E30" s="52" t="s">
        <v>9</v>
      </c>
      <c r="F30" s="51" t="s">
        <v>191</v>
      </c>
      <c r="G30" s="51" t="s">
        <v>192</v>
      </c>
      <c r="H30" s="52" t="s">
        <v>9</v>
      </c>
      <c r="J30" s="51" t="s">
        <v>193</v>
      </c>
    </row>
    <row r="31">
      <c r="A31" s="50" t="s">
        <v>226</v>
      </c>
      <c r="B31" s="51" t="s">
        <v>134</v>
      </c>
      <c r="E31" s="52" t="s">
        <v>9</v>
      </c>
      <c r="F31" s="51" t="s">
        <v>195</v>
      </c>
      <c r="G31" s="51" t="s">
        <v>192</v>
      </c>
      <c r="H31" s="52" t="s">
        <v>9</v>
      </c>
      <c r="J31" s="51" t="s">
        <v>193</v>
      </c>
    </row>
    <row r="32">
      <c r="A32" s="50" t="s">
        <v>227</v>
      </c>
      <c r="B32" s="51" t="s">
        <v>228</v>
      </c>
      <c r="E32" s="52" t="s">
        <v>9</v>
      </c>
      <c r="F32" s="51" t="s">
        <v>191</v>
      </c>
      <c r="G32" s="51" t="s">
        <v>182</v>
      </c>
      <c r="H32" s="52" t="s">
        <v>9</v>
      </c>
      <c r="J32" s="51" t="s">
        <v>229</v>
      </c>
    </row>
  </sheetData>
  <mergeCells count="68">
    <mergeCell ref="J26:K26"/>
    <mergeCell ref="J27:K27"/>
    <mergeCell ref="J19:K19"/>
    <mergeCell ref="J20:K20"/>
    <mergeCell ref="J21:K21"/>
    <mergeCell ref="J22:K22"/>
    <mergeCell ref="J23:K23"/>
    <mergeCell ref="J24:K24"/>
    <mergeCell ref="J25:K25"/>
    <mergeCell ref="H30:I30"/>
    <mergeCell ref="J30:K30"/>
    <mergeCell ref="H25:I25"/>
    <mergeCell ref="H26:I26"/>
    <mergeCell ref="H27:I27"/>
    <mergeCell ref="H28:I28"/>
    <mergeCell ref="J28:K28"/>
    <mergeCell ref="H29:I29"/>
    <mergeCell ref="J29:K29"/>
    <mergeCell ref="B1:C1"/>
    <mergeCell ref="D1:E1"/>
    <mergeCell ref="F1:G1"/>
    <mergeCell ref="H1:I1"/>
    <mergeCell ref="B2:C2"/>
    <mergeCell ref="D2:E2"/>
    <mergeCell ref="H2:I2"/>
    <mergeCell ref="F2:G2"/>
    <mergeCell ref="F5:G5"/>
    <mergeCell ref="D12:E12"/>
    <mergeCell ref="F12:G12"/>
    <mergeCell ref="B14:D14"/>
    <mergeCell ref="J14:K14"/>
    <mergeCell ref="J15:K15"/>
    <mergeCell ref="H14:I14"/>
    <mergeCell ref="H15:I15"/>
    <mergeCell ref="H16:I16"/>
    <mergeCell ref="J16:K16"/>
    <mergeCell ref="H17:I17"/>
    <mergeCell ref="J17:K17"/>
    <mergeCell ref="J18:K18"/>
    <mergeCell ref="B15:D15"/>
    <mergeCell ref="B16:D16"/>
    <mergeCell ref="B17:D17"/>
    <mergeCell ref="B18:D18"/>
    <mergeCell ref="B19:D19"/>
    <mergeCell ref="B20:D20"/>
    <mergeCell ref="B21:D21"/>
    <mergeCell ref="H18:I18"/>
    <mergeCell ref="H19:I19"/>
    <mergeCell ref="H20:I20"/>
    <mergeCell ref="H21:I21"/>
    <mergeCell ref="H22:I22"/>
    <mergeCell ref="H23:I23"/>
    <mergeCell ref="H24:I24"/>
    <mergeCell ref="H31:I31"/>
    <mergeCell ref="B29:D29"/>
    <mergeCell ref="B30:D30"/>
    <mergeCell ref="B31:D31"/>
    <mergeCell ref="J31:K31"/>
    <mergeCell ref="B32:D32"/>
    <mergeCell ref="H32:I32"/>
    <mergeCell ref="J32:K32"/>
    <mergeCell ref="B22:D22"/>
    <mergeCell ref="B23:D23"/>
    <mergeCell ref="B24:D24"/>
    <mergeCell ref="B25:D25"/>
    <mergeCell ref="B26:D26"/>
    <mergeCell ref="B27:D27"/>
    <mergeCell ref="B28:D28"/>
  </mergeCells>
  <dataValidations>
    <dataValidation type="list" allowBlank="1" showErrorMessage="1" sqref="G15:G32">
      <formula1>"Passed,Failed,Skip"</formula1>
    </dataValidation>
    <dataValidation type="list" allowBlank="1" showErrorMessage="1" sqref="F15:F32">
      <formula1>"High,Medium,Low"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5" max="5" width="11.13"/>
    <col customWidth="1" min="6" max="6" width="16.63"/>
    <col customWidth="1" min="7" max="7" width="11.75"/>
    <col customWidth="1" min="9" max="9" width="11.63"/>
  </cols>
  <sheetData>
    <row r="1">
      <c r="F1" s="53" t="s">
        <v>230</v>
      </c>
      <c r="H1" s="54" t="s">
        <v>1</v>
      </c>
      <c r="I1" s="55"/>
      <c r="J1" s="53" t="s">
        <v>231</v>
      </c>
      <c r="L1" s="54" t="s">
        <v>232</v>
      </c>
    </row>
    <row r="2">
      <c r="F2" s="53" t="s">
        <v>186</v>
      </c>
      <c r="H2" s="54" t="s">
        <v>191</v>
      </c>
      <c r="I2" s="55"/>
      <c r="J2" s="53" t="s">
        <v>233</v>
      </c>
      <c r="L2" s="54" t="s">
        <v>14</v>
      </c>
    </row>
    <row r="3">
      <c r="F3" s="53" t="s">
        <v>234</v>
      </c>
      <c r="H3" s="54" t="s">
        <v>235</v>
      </c>
      <c r="I3" s="55"/>
      <c r="J3" s="53" t="s">
        <v>236</v>
      </c>
      <c r="L3" s="54" t="s">
        <v>14</v>
      </c>
    </row>
    <row r="4">
      <c r="I4" s="55"/>
    </row>
    <row r="5">
      <c r="I5" s="55"/>
    </row>
    <row r="6">
      <c r="A6" s="56" t="s">
        <v>22</v>
      </c>
      <c r="B6" s="56" t="s">
        <v>23</v>
      </c>
      <c r="D6" s="56" t="s">
        <v>24</v>
      </c>
      <c r="F6" s="56" t="s">
        <v>25</v>
      </c>
      <c r="G6" s="56" t="s">
        <v>26</v>
      </c>
      <c r="H6" s="56" t="s">
        <v>27</v>
      </c>
      <c r="I6" s="57" t="s">
        <v>186</v>
      </c>
      <c r="J6" s="56" t="s">
        <v>28</v>
      </c>
      <c r="L6" s="56" t="s">
        <v>29</v>
      </c>
      <c r="N6" s="56" t="s">
        <v>30</v>
      </c>
      <c r="O6" s="56" t="s">
        <v>31</v>
      </c>
      <c r="Q6" s="58" t="s">
        <v>32</v>
      </c>
    </row>
    <row r="7">
      <c r="A7" s="26" t="s">
        <v>33</v>
      </c>
      <c r="B7" s="26" t="s">
        <v>34</v>
      </c>
      <c r="D7" s="26" t="s">
        <v>35</v>
      </c>
      <c r="F7" s="26" t="s">
        <v>36</v>
      </c>
      <c r="G7" s="26" t="s">
        <v>37</v>
      </c>
      <c r="H7" s="26" t="s">
        <v>38</v>
      </c>
      <c r="I7" s="59" t="s">
        <v>191</v>
      </c>
      <c r="J7" s="26" t="s">
        <v>39</v>
      </c>
      <c r="L7" s="26" t="s">
        <v>40</v>
      </c>
      <c r="N7" s="26" t="s">
        <v>41</v>
      </c>
      <c r="O7" s="27" t="s">
        <v>193</v>
      </c>
      <c r="Q7" s="28"/>
    </row>
    <row r="8">
      <c r="A8" s="26" t="s">
        <v>42</v>
      </c>
      <c r="B8" s="29" t="s">
        <v>43</v>
      </c>
      <c r="D8" s="26" t="s">
        <v>44</v>
      </c>
      <c r="F8" s="29" t="s">
        <v>45</v>
      </c>
      <c r="G8" s="26" t="s">
        <v>37</v>
      </c>
      <c r="H8" s="26" t="s">
        <v>38</v>
      </c>
      <c r="I8" s="59" t="s">
        <v>195</v>
      </c>
      <c r="J8" s="26" t="s">
        <v>46</v>
      </c>
      <c r="L8" s="26" t="s">
        <v>47</v>
      </c>
      <c r="N8" s="26" t="s">
        <v>41</v>
      </c>
      <c r="O8" s="27" t="s">
        <v>193</v>
      </c>
      <c r="Q8" s="28"/>
    </row>
    <row r="9">
      <c r="A9" s="26" t="s">
        <v>48</v>
      </c>
      <c r="B9" s="26" t="s">
        <v>49</v>
      </c>
      <c r="D9" s="36" t="s">
        <v>50</v>
      </c>
      <c r="F9" s="29" t="s">
        <v>51</v>
      </c>
      <c r="G9" s="26" t="s">
        <v>37</v>
      </c>
      <c r="H9" s="26" t="s">
        <v>38</v>
      </c>
      <c r="I9" s="59" t="s">
        <v>191</v>
      </c>
      <c r="J9" s="29" t="s">
        <v>52</v>
      </c>
      <c r="L9" s="26" t="s">
        <v>53</v>
      </c>
      <c r="N9" s="26" t="s">
        <v>41</v>
      </c>
      <c r="O9" s="27" t="s">
        <v>193</v>
      </c>
      <c r="Q9" s="28"/>
    </row>
    <row r="10">
      <c r="A10" s="26" t="s">
        <v>54</v>
      </c>
      <c r="B10" s="26" t="s">
        <v>55</v>
      </c>
      <c r="D10" s="29" t="s">
        <v>56</v>
      </c>
      <c r="F10" s="29" t="s">
        <v>57</v>
      </c>
      <c r="G10" s="26" t="s">
        <v>37</v>
      </c>
      <c r="H10" s="29" t="s">
        <v>58</v>
      </c>
      <c r="I10" s="59" t="s">
        <v>191</v>
      </c>
      <c r="J10" s="29" t="s">
        <v>59</v>
      </c>
      <c r="L10" s="26" t="s">
        <v>53</v>
      </c>
      <c r="N10" s="26" t="s">
        <v>41</v>
      </c>
      <c r="O10" s="27" t="s">
        <v>193</v>
      </c>
      <c r="Q10" s="28"/>
    </row>
    <row r="11">
      <c r="A11" s="26" t="s">
        <v>60</v>
      </c>
      <c r="B11" s="26" t="s">
        <v>61</v>
      </c>
      <c r="D11" s="26" t="s">
        <v>62</v>
      </c>
      <c r="F11" s="29" t="s">
        <v>63</v>
      </c>
      <c r="G11" s="26" t="s">
        <v>37</v>
      </c>
      <c r="H11" s="26" t="s">
        <v>64</v>
      </c>
      <c r="I11" s="59" t="s">
        <v>195</v>
      </c>
      <c r="J11" s="29" t="s">
        <v>65</v>
      </c>
      <c r="L11" s="29" t="s">
        <v>66</v>
      </c>
      <c r="N11" s="26" t="s">
        <v>80</v>
      </c>
      <c r="O11" s="60" t="s">
        <v>202</v>
      </c>
      <c r="Q11" s="31" t="s">
        <v>67</v>
      </c>
    </row>
    <row r="12">
      <c r="A12" s="26" t="s">
        <v>68</v>
      </c>
      <c r="B12" s="26" t="s">
        <v>69</v>
      </c>
      <c r="D12" s="26" t="s">
        <v>56</v>
      </c>
      <c r="F12" s="29" t="s">
        <v>70</v>
      </c>
      <c r="G12" s="26" t="s">
        <v>37</v>
      </c>
      <c r="H12" s="26" t="s">
        <v>71</v>
      </c>
      <c r="I12" s="59" t="s">
        <v>191</v>
      </c>
      <c r="J12" s="29" t="s">
        <v>72</v>
      </c>
      <c r="L12" s="26" t="s">
        <v>73</v>
      </c>
      <c r="N12" s="26" t="s">
        <v>41</v>
      </c>
      <c r="O12" s="27" t="s">
        <v>193</v>
      </c>
      <c r="Q12" s="28"/>
    </row>
    <row r="13">
      <c r="A13" s="26" t="s">
        <v>74</v>
      </c>
      <c r="B13" s="26" t="s">
        <v>75</v>
      </c>
      <c r="D13" s="26" t="s">
        <v>76</v>
      </c>
      <c r="F13" s="29" t="s">
        <v>77</v>
      </c>
      <c r="G13" s="26" t="s">
        <v>37</v>
      </c>
      <c r="H13" s="26" t="s">
        <v>71</v>
      </c>
      <c r="I13" s="59" t="s">
        <v>207</v>
      </c>
      <c r="J13" s="29" t="s">
        <v>78</v>
      </c>
      <c r="L13" s="26" t="s">
        <v>79</v>
      </c>
      <c r="N13" s="26" t="s">
        <v>80</v>
      </c>
      <c r="O13" s="27" t="s">
        <v>208</v>
      </c>
      <c r="Q13" s="31" t="s">
        <v>81</v>
      </c>
    </row>
    <row r="14">
      <c r="A14" s="26" t="s">
        <v>82</v>
      </c>
      <c r="B14" s="26" t="s">
        <v>83</v>
      </c>
      <c r="D14" s="26" t="s">
        <v>84</v>
      </c>
      <c r="F14" s="29" t="s">
        <v>85</v>
      </c>
      <c r="G14" s="26" t="s">
        <v>86</v>
      </c>
      <c r="H14" s="26" t="s">
        <v>71</v>
      </c>
      <c r="I14" s="59" t="s">
        <v>195</v>
      </c>
      <c r="J14" s="26" t="s">
        <v>87</v>
      </c>
      <c r="L14" s="26" t="s">
        <v>53</v>
      </c>
      <c r="N14" s="26" t="s">
        <v>41</v>
      </c>
      <c r="O14" s="27" t="s">
        <v>193</v>
      </c>
      <c r="Q14" s="28"/>
    </row>
    <row r="15">
      <c r="A15" s="26" t="s">
        <v>88</v>
      </c>
      <c r="B15" s="26" t="s">
        <v>89</v>
      </c>
      <c r="D15" s="26" t="s">
        <v>90</v>
      </c>
      <c r="F15" s="29" t="s">
        <v>91</v>
      </c>
      <c r="G15" s="26" t="s">
        <v>86</v>
      </c>
      <c r="H15" s="26" t="s">
        <v>71</v>
      </c>
      <c r="I15" s="59" t="s">
        <v>191</v>
      </c>
      <c r="J15" s="29" t="s">
        <v>92</v>
      </c>
      <c r="L15" s="29" t="s">
        <v>93</v>
      </c>
      <c r="N15" s="26" t="s">
        <v>41</v>
      </c>
      <c r="O15" s="60" t="s">
        <v>237</v>
      </c>
      <c r="Q15" s="28"/>
    </row>
    <row r="16">
      <c r="A16" s="26" t="s">
        <v>94</v>
      </c>
      <c r="B16" s="26" t="s">
        <v>95</v>
      </c>
      <c r="D16" s="26" t="s">
        <v>56</v>
      </c>
      <c r="F16" s="29" t="s">
        <v>96</v>
      </c>
      <c r="G16" s="26" t="s">
        <v>86</v>
      </c>
      <c r="H16" s="26" t="s">
        <v>71</v>
      </c>
      <c r="I16" s="59" t="s">
        <v>207</v>
      </c>
      <c r="J16" s="26" t="s">
        <v>97</v>
      </c>
      <c r="L16" s="26" t="s">
        <v>98</v>
      </c>
      <c r="N16" s="26" t="s">
        <v>41</v>
      </c>
      <c r="O16" s="27" t="s">
        <v>193</v>
      </c>
      <c r="Q16" s="28"/>
    </row>
    <row r="17">
      <c r="A17" s="26" t="s">
        <v>99</v>
      </c>
      <c r="B17" s="26" t="s">
        <v>100</v>
      </c>
      <c r="D17" s="29" t="s">
        <v>101</v>
      </c>
      <c r="F17" s="29" t="s">
        <v>102</v>
      </c>
      <c r="G17" s="26" t="s">
        <v>86</v>
      </c>
      <c r="H17" s="29" t="s">
        <v>103</v>
      </c>
      <c r="I17" s="59" t="s">
        <v>191</v>
      </c>
      <c r="J17" s="29" t="s">
        <v>104</v>
      </c>
      <c r="L17" s="29" t="s">
        <v>105</v>
      </c>
      <c r="N17" s="26" t="s">
        <v>41</v>
      </c>
      <c r="O17" s="27" t="s">
        <v>193</v>
      </c>
      <c r="Q17" s="28"/>
    </row>
    <row r="18">
      <c r="A18" s="26" t="s">
        <v>106</v>
      </c>
      <c r="B18" s="26" t="s">
        <v>107</v>
      </c>
      <c r="D18" s="26" t="s">
        <v>35</v>
      </c>
      <c r="F18" s="61" t="s">
        <v>108</v>
      </c>
      <c r="G18" s="26" t="s">
        <v>86</v>
      </c>
      <c r="H18" s="26" t="s">
        <v>71</v>
      </c>
      <c r="I18" s="59" t="s">
        <v>195</v>
      </c>
      <c r="J18" s="29" t="s">
        <v>109</v>
      </c>
      <c r="L18" s="29" t="s">
        <v>110</v>
      </c>
      <c r="N18" s="26" t="s">
        <v>80</v>
      </c>
      <c r="O18" s="27" t="s">
        <v>218</v>
      </c>
      <c r="Q18" s="31" t="s">
        <v>111</v>
      </c>
    </row>
    <row r="19">
      <c r="A19" s="26" t="s">
        <v>112</v>
      </c>
      <c r="B19" s="26" t="s">
        <v>113</v>
      </c>
      <c r="D19" s="26" t="s">
        <v>35</v>
      </c>
      <c r="F19" s="62" t="s">
        <v>238</v>
      </c>
      <c r="G19" s="26" t="s">
        <v>86</v>
      </c>
      <c r="H19" s="26" t="s">
        <v>71</v>
      </c>
      <c r="I19" s="59" t="s">
        <v>191</v>
      </c>
      <c r="J19" s="29" t="s">
        <v>115</v>
      </c>
      <c r="L19" s="29" t="s">
        <v>116</v>
      </c>
      <c r="N19" s="26" t="s">
        <v>41</v>
      </c>
      <c r="O19" s="27" t="s">
        <v>193</v>
      </c>
      <c r="Q19" s="28"/>
    </row>
    <row r="20">
      <c r="A20" s="26" t="s">
        <v>117</v>
      </c>
      <c r="B20" s="26" t="s">
        <v>118</v>
      </c>
      <c r="D20" s="26" t="s">
        <v>35</v>
      </c>
      <c r="F20" s="29" t="s">
        <v>119</v>
      </c>
      <c r="G20" s="26" t="s">
        <v>86</v>
      </c>
      <c r="H20" s="26" t="s">
        <v>71</v>
      </c>
      <c r="I20" s="59" t="s">
        <v>195</v>
      </c>
      <c r="J20" s="26" t="s">
        <v>120</v>
      </c>
      <c r="L20" s="26" t="s">
        <v>121</v>
      </c>
      <c r="N20" s="26" t="s">
        <v>41</v>
      </c>
      <c r="O20" s="27" t="s">
        <v>193</v>
      </c>
      <c r="Q20" s="28"/>
    </row>
    <row r="21">
      <c r="A21" s="26" t="s">
        <v>122</v>
      </c>
      <c r="B21" s="26" t="s">
        <v>123</v>
      </c>
      <c r="D21" s="26" t="s">
        <v>35</v>
      </c>
      <c r="F21" s="29" t="s">
        <v>124</v>
      </c>
      <c r="G21" s="26" t="s">
        <v>86</v>
      </c>
      <c r="H21" s="26" t="s">
        <v>71</v>
      </c>
      <c r="I21" s="59" t="s">
        <v>191</v>
      </c>
      <c r="J21" s="26" t="s">
        <v>125</v>
      </c>
      <c r="L21" s="26" t="s">
        <v>126</v>
      </c>
      <c r="N21" s="26" t="s">
        <v>80</v>
      </c>
      <c r="O21" s="27" t="s">
        <v>224</v>
      </c>
      <c r="Q21" s="28"/>
    </row>
    <row r="22">
      <c r="A22" s="26" t="s">
        <v>127</v>
      </c>
      <c r="B22" s="26" t="s">
        <v>128</v>
      </c>
      <c r="D22" s="26" t="s">
        <v>239</v>
      </c>
      <c r="F22" s="63" t="s">
        <v>240</v>
      </c>
      <c r="G22" s="26" t="s">
        <v>86</v>
      </c>
      <c r="H22" s="26" t="s">
        <v>71</v>
      </c>
      <c r="I22" s="59" t="s">
        <v>191</v>
      </c>
      <c r="J22" s="29" t="s">
        <v>131</v>
      </c>
      <c r="L22" s="26" t="s">
        <v>132</v>
      </c>
      <c r="N22" s="26" t="s">
        <v>41</v>
      </c>
      <c r="O22" s="27" t="s">
        <v>193</v>
      </c>
      <c r="Q22" s="28"/>
    </row>
    <row r="23">
      <c r="A23" s="26" t="s">
        <v>133</v>
      </c>
      <c r="B23" s="26" t="s">
        <v>134</v>
      </c>
      <c r="D23" s="26" t="s">
        <v>35</v>
      </c>
      <c r="F23" s="63" t="s">
        <v>241</v>
      </c>
      <c r="G23" s="26" t="s">
        <v>86</v>
      </c>
      <c r="H23" s="26" t="s">
        <v>71</v>
      </c>
      <c r="I23" s="59" t="s">
        <v>195</v>
      </c>
      <c r="J23" s="26" t="s">
        <v>136</v>
      </c>
      <c r="L23" s="26" t="s">
        <v>137</v>
      </c>
      <c r="N23" s="26" t="s">
        <v>41</v>
      </c>
      <c r="O23" s="27" t="s">
        <v>193</v>
      </c>
      <c r="Q23" s="28"/>
    </row>
    <row r="24">
      <c r="A24" s="26" t="s">
        <v>138</v>
      </c>
      <c r="B24" s="26" t="s">
        <v>139</v>
      </c>
      <c r="D24" s="26" t="s">
        <v>35</v>
      </c>
      <c r="F24" s="29" t="s">
        <v>140</v>
      </c>
      <c r="G24" s="26" t="s">
        <v>86</v>
      </c>
      <c r="H24" s="26" t="s">
        <v>71</v>
      </c>
      <c r="I24" s="59" t="s">
        <v>195</v>
      </c>
      <c r="J24" s="29" t="s">
        <v>141</v>
      </c>
      <c r="L24" s="29" t="s">
        <v>142</v>
      </c>
      <c r="N24" s="26" t="s">
        <v>80</v>
      </c>
      <c r="O24" s="60" t="s">
        <v>229</v>
      </c>
      <c r="Q24" s="31" t="s">
        <v>143</v>
      </c>
    </row>
    <row r="25">
      <c r="A25" s="26" t="s">
        <v>144</v>
      </c>
      <c r="B25" s="26"/>
      <c r="D25" s="26"/>
      <c r="F25" s="26"/>
      <c r="G25" s="26"/>
      <c r="H25" s="26"/>
      <c r="I25" s="64"/>
      <c r="J25" s="26"/>
      <c r="L25" s="26"/>
      <c r="N25" s="65"/>
      <c r="O25" s="66"/>
      <c r="Q25" s="28"/>
    </row>
    <row r="26">
      <c r="C26" s="36"/>
      <c r="D26" s="36"/>
      <c r="F26" s="36"/>
      <c r="H26" s="36"/>
      <c r="I26" s="67"/>
      <c r="J26" s="36"/>
      <c r="K26" s="68"/>
      <c r="L26" s="36"/>
      <c r="N26" s="36"/>
      <c r="P26" s="68"/>
      <c r="Q26" s="68"/>
      <c r="S26" s="35"/>
    </row>
    <row r="27">
      <c r="C27" s="36"/>
      <c r="D27" s="36"/>
      <c r="F27" s="36"/>
      <c r="H27" s="36"/>
      <c r="I27" s="69"/>
      <c r="J27" s="70"/>
      <c r="K27" s="68"/>
      <c r="L27" s="36"/>
      <c r="N27" s="36"/>
      <c r="P27" s="68"/>
      <c r="Q27" s="68"/>
      <c r="S27" s="35"/>
    </row>
    <row r="28">
      <c r="C28" s="36"/>
      <c r="D28" s="36"/>
      <c r="F28" s="36"/>
      <c r="H28" s="36"/>
      <c r="I28" s="71"/>
      <c r="J28" s="71"/>
      <c r="K28" s="72"/>
      <c r="L28" s="73"/>
      <c r="N28" s="36"/>
      <c r="P28" s="68"/>
      <c r="Q28" s="68"/>
      <c r="S28" s="35"/>
    </row>
    <row r="29">
      <c r="C29" s="36"/>
      <c r="D29" s="36"/>
      <c r="F29" s="36"/>
      <c r="H29" s="36"/>
      <c r="I29" s="74" t="s">
        <v>242</v>
      </c>
      <c r="M29" s="73"/>
      <c r="N29" s="36"/>
      <c r="P29" s="68"/>
      <c r="Q29" s="68"/>
      <c r="S29" s="35"/>
    </row>
    <row r="30">
      <c r="C30" s="36"/>
      <c r="D30" s="36"/>
      <c r="F30" s="36"/>
      <c r="H30" s="36"/>
      <c r="I30" s="6" t="s">
        <v>243</v>
      </c>
      <c r="K30" s="6">
        <v>15.0</v>
      </c>
      <c r="M30" s="73"/>
      <c r="N30" s="36"/>
      <c r="P30" s="68"/>
      <c r="Q30" s="68"/>
      <c r="S30" s="35"/>
    </row>
    <row r="31">
      <c r="C31" s="36"/>
      <c r="D31" s="36"/>
      <c r="F31" s="36"/>
      <c r="H31" s="36"/>
      <c r="I31" s="6" t="s">
        <v>244</v>
      </c>
      <c r="K31" s="6">
        <v>11.0</v>
      </c>
      <c r="M31" s="73"/>
      <c r="N31" s="36"/>
      <c r="P31" s="68"/>
      <c r="Q31" s="68"/>
      <c r="S31" s="35"/>
    </row>
    <row r="32">
      <c r="C32" s="36"/>
      <c r="D32" s="36"/>
      <c r="F32" s="36"/>
      <c r="H32" s="36"/>
      <c r="I32" s="6" t="s">
        <v>182</v>
      </c>
      <c r="K32" s="6">
        <v>4.0</v>
      </c>
      <c r="M32" s="73"/>
      <c r="N32" s="36"/>
      <c r="P32" s="68"/>
      <c r="Q32" s="68"/>
      <c r="S32" s="35"/>
    </row>
    <row r="33">
      <c r="C33" s="36"/>
      <c r="D33" s="36"/>
      <c r="F33" s="36"/>
      <c r="H33" s="36"/>
      <c r="I33" s="6" t="s">
        <v>245</v>
      </c>
      <c r="K33" s="75">
        <f>DIVIDE(K31,K30)</f>
        <v>0.7333333333</v>
      </c>
      <c r="M33" s="73"/>
      <c r="N33" s="36"/>
      <c r="P33" s="68"/>
      <c r="Q33" s="68"/>
      <c r="S33" s="35"/>
    </row>
    <row r="34">
      <c r="C34" s="36"/>
      <c r="D34" s="36"/>
      <c r="F34" s="36"/>
      <c r="H34" s="36"/>
      <c r="I34" s="67"/>
      <c r="J34" s="36"/>
      <c r="K34" s="68"/>
      <c r="L34" s="36"/>
      <c r="N34" s="36"/>
      <c r="P34" s="68"/>
      <c r="Q34" s="68"/>
      <c r="S34" s="35"/>
    </row>
    <row r="35">
      <c r="C35" s="36"/>
      <c r="D35" s="36"/>
      <c r="F35" s="36"/>
      <c r="H35" s="36"/>
      <c r="I35" s="67"/>
      <c r="J35" s="36"/>
      <c r="K35" s="68"/>
      <c r="L35" s="36"/>
      <c r="N35" s="36"/>
      <c r="P35" s="68"/>
      <c r="Q35" s="68"/>
      <c r="S35" s="35"/>
    </row>
    <row r="36">
      <c r="C36" s="36"/>
      <c r="D36" s="36"/>
      <c r="F36" s="36"/>
      <c r="H36" s="36"/>
      <c r="I36" s="67"/>
      <c r="J36" s="36"/>
      <c r="K36" s="68"/>
      <c r="L36" s="36"/>
      <c r="N36" s="36"/>
      <c r="P36" s="68"/>
      <c r="Q36" s="68"/>
      <c r="S36" s="35"/>
    </row>
    <row r="37">
      <c r="C37" s="36"/>
      <c r="D37" s="36"/>
      <c r="F37" s="36"/>
      <c r="H37" s="36"/>
      <c r="I37" s="67"/>
      <c r="J37" s="36"/>
      <c r="K37" s="68"/>
      <c r="L37" s="36"/>
      <c r="N37" s="36"/>
      <c r="P37" s="68"/>
      <c r="Q37" s="68"/>
      <c r="S37" s="35"/>
    </row>
    <row r="38">
      <c r="C38" s="36"/>
      <c r="D38" s="36"/>
      <c r="F38" s="36"/>
      <c r="H38" s="36"/>
      <c r="I38" s="67"/>
      <c r="J38" s="36"/>
      <c r="K38" s="68"/>
      <c r="L38" s="36"/>
      <c r="N38" s="36"/>
      <c r="P38" s="68"/>
      <c r="Q38" s="68"/>
      <c r="S38" s="35"/>
    </row>
    <row r="39">
      <c r="C39" s="36"/>
      <c r="D39" s="36"/>
      <c r="F39" s="36"/>
      <c r="H39" s="36"/>
      <c r="I39" s="67"/>
      <c r="J39" s="36"/>
      <c r="K39" s="68"/>
      <c r="L39" s="36"/>
      <c r="N39" s="36"/>
      <c r="P39" s="68"/>
      <c r="Q39" s="68"/>
      <c r="S39" s="35"/>
    </row>
    <row r="40">
      <c r="C40" s="36"/>
      <c r="D40" s="36"/>
      <c r="F40" s="36"/>
      <c r="H40" s="36"/>
      <c r="I40" s="67"/>
      <c r="J40" s="36"/>
      <c r="K40" s="68"/>
      <c r="L40" s="36"/>
      <c r="N40" s="36"/>
      <c r="P40" s="68"/>
      <c r="Q40" s="68"/>
      <c r="S40" s="35"/>
    </row>
    <row r="41">
      <c r="C41" s="36"/>
      <c r="D41" s="36"/>
      <c r="F41" s="36"/>
      <c r="H41" s="36"/>
      <c r="I41" s="67"/>
      <c r="J41" s="36"/>
      <c r="K41" s="68"/>
      <c r="L41" s="36"/>
      <c r="N41" s="36"/>
      <c r="P41" s="68"/>
      <c r="Q41" s="68"/>
      <c r="S41" s="35"/>
    </row>
    <row r="42">
      <c r="C42" s="36"/>
      <c r="D42" s="36"/>
      <c r="F42" s="36"/>
      <c r="H42" s="36"/>
      <c r="I42" s="67"/>
      <c r="J42" s="36"/>
      <c r="K42" s="68"/>
      <c r="L42" s="36"/>
      <c r="N42" s="36"/>
      <c r="P42" s="68"/>
      <c r="Q42" s="68"/>
      <c r="S42" s="35"/>
    </row>
    <row r="43">
      <c r="C43" s="36"/>
      <c r="D43" s="36"/>
      <c r="F43" s="36"/>
      <c r="H43" s="36"/>
      <c r="I43" s="67"/>
      <c r="J43" s="36"/>
      <c r="K43" s="68"/>
      <c r="L43" s="36"/>
      <c r="N43" s="36"/>
      <c r="P43" s="68"/>
      <c r="Q43" s="68"/>
      <c r="S43" s="35"/>
    </row>
    <row r="44">
      <c r="C44" s="36"/>
      <c r="D44" s="36"/>
      <c r="F44" s="36"/>
      <c r="H44" s="36"/>
      <c r="I44" s="67"/>
      <c r="J44" s="36"/>
      <c r="K44" s="68"/>
      <c r="L44" s="36"/>
      <c r="N44" s="36"/>
      <c r="P44" s="68"/>
      <c r="Q44" s="68"/>
      <c r="S44" s="35"/>
    </row>
    <row r="45">
      <c r="F45" s="36"/>
      <c r="H45" s="36"/>
      <c r="I45" s="55"/>
    </row>
    <row r="46">
      <c r="I46" s="55"/>
    </row>
    <row r="47">
      <c r="I47" s="55"/>
    </row>
    <row r="48">
      <c r="I48" s="55"/>
    </row>
    <row r="49">
      <c r="I49" s="55"/>
    </row>
    <row r="50">
      <c r="I50" s="55"/>
    </row>
    <row r="51">
      <c r="I51" s="55"/>
    </row>
    <row r="52">
      <c r="I52" s="55"/>
    </row>
    <row r="53">
      <c r="I53" s="55"/>
    </row>
    <row r="54">
      <c r="I54" s="55"/>
    </row>
    <row r="55">
      <c r="I55" s="55"/>
    </row>
    <row r="56">
      <c r="I56" s="55"/>
    </row>
    <row r="57">
      <c r="I57" s="55"/>
    </row>
    <row r="58">
      <c r="F58" s="37"/>
      <c r="H58" s="37"/>
      <c r="I58" s="55"/>
    </row>
    <row r="59">
      <c r="F59" s="37"/>
      <c r="H59" s="37"/>
      <c r="I59" s="55"/>
    </row>
    <row r="60">
      <c r="I60" s="55"/>
    </row>
    <row r="61">
      <c r="I61" s="55"/>
    </row>
    <row r="62">
      <c r="I62" s="55"/>
    </row>
    <row r="63">
      <c r="I63" s="55"/>
    </row>
    <row r="64">
      <c r="I64" s="55"/>
    </row>
    <row r="65">
      <c r="I65" s="55"/>
    </row>
    <row r="66">
      <c r="I66" s="55"/>
    </row>
    <row r="67">
      <c r="I67" s="55"/>
    </row>
    <row r="68">
      <c r="I68" s="55"/>
    </row>
    <row r="69">
      <c r="I69" s="55"/>
    </row>
    <row r="70">
      <c r="I70" s="55"/>
    </row>
    <row r="71">
      <c r="I71" s="55"/>
    </row>
    <row r="72">
      <c r="I72" s="55"/>
    </row>
    <row r="73">
      <c r="I73" s="55"/>
    </row>
    <row r="74">
      <c r="I74" s="55"/>
    </row>
    <row r="75">
      <c r="I75" s="55"/>
    </row>
    <row r="76">
      <c r="I76" s="55"/>
    </row>
    <row r="77">
      <c r="I77" s="55"/>
    </row>
    <row r="78">
      <c r="I78" s="55"/>
    </row>
    <row r="79">
      <c r="I79" s="55"/>
    </row>
    <row r="80">
      <c r="I80" s="55"/>
    </row>
    <row r="81">
      <c r="I81" s="55"/>
    </row>
    <row r="82">
      <c r="I82" s="55"/>
    </row>
    <row r="83">
      <c r="I83" s="55"/>
    </row>
    <row r="84">
      <c r="I84" s="55"/>
    </row>
    <row r="85">
      <c r="I85" s="55"/>
    </row>
    <row r="86">
      <c r="I86" s="55"/>
    </row>
    <row r="87">
      <c r="I87" s="55"/>
    </row>
    <row r="88">
      <c r="I88" s="55"/>
    </row>
    <row r="89">
      <c r="I89" s="55"/>
    </row>
    <row r="90">
      <c r="I90" s="55"/>
    </row>
    <row r="91">
      <c r="I91" s="55"/>
    </row>
    <row r="92">
      <c r="I92" s="55"/>
    </row>
    <row r="93">
      <c r="I93" s="55"/>
    </row>
    <row r="94">
      <c r="I94" s="55"/>
    </row>
    <row r="95">
      <c r="I95" s="55"/>
    </row>
    <row r="96">
      <c r="I96" s="55"/>
    </row>
    <row r="97">
      <c r="I97" s="55"/>
    </row>
    <row r="98">
      <c r="I98" s="55"/>
    </row>
    <row r="99">
      <c r="I99" s="55"/>
    </row>
    <row r="100">
      <c r="I100" s="55"/>
    </row>
    <row r="101">
      <c r="I101" s="55"/>
    </row>
    <row r="102">
      <c r="I102" s="55"/>
    </row>
    <row r="103">
      <c r="I103" s="55"/>
    </row>
    <row r="104">
      <c r="I104" s="55"/>
    </row>
    <row r="105">
      <c r="I105" s="55"/>
    </row>
    <row r="106">
      <c r="I106" s="55"/>
    </row>
    <row r="107">
      <c r="I107" s="55"/>
    </row>
    <row r="108">
      <c r="I108" s="55"/>
    </row>
    <row r="109">
      <c r="I109" s="55"/>
    </row>
    <row r="110">
      <c r="I110" s="55"/>
    </row>
    <row r="111">
      <c r="I111" s="55"/>
    </row>
    <row r="112">
      <c r="I112" s="55"/>
    </row>
    <row r="113">
      <c r="I113" s="55"/>
    </row>
    <row r="114">
      <c r="I114" s="55"/>
    </row>
    <row r="115">
      <c r="I115" s="55"/>
    </row>
    <row r="116">
      <c r="I116" s="55"/>
    </row>
    <row r="117">
      <c r="I117" s="55"/>
    </row>
    <row r="118">
      <c r="I118" s="55"/>
    </row>
    <row r="119">
      <c r="I119" s="55"/>
    </row>
    <row r="120">
      <c r="I120" s="55"/>
    </row>
    <row r="121">
      <c r="I121" s="55"/>
    </row>
    <row r="122">
      <c r="I122" s="55"/>
    </row>
    <row r="123">
      <c r="I123" s="55"/>
    </row>
    <row r="124">
      <c r="I124" s="55"/>
    </row>
    <row r="125">
      <c r="I125" s="55"/>
    </row>
    <row r="126">
      <c r="I126" s="55"/>
    </row>
    <row r="127">
      <c r="I127" s="55"/>
    </row>
    <row r="128">
      <c r="I128" s="55"/>
    </row>
    <row r="129">
      <c r="I129" s="55"/>
    </row>
    <row r="130">
      <c r="I130" s="55"/>
    </row>
    <row r="131">
      <c r="I131" s="55"/>
    </row>
    <row r="132">
      <c r="I132" s="55"/>
    </row>
    <row r="133">
      <c r="I133" s="55"/>
    </row>
    <row r="134">
      <c r="I134" s="55"/>
    </row>
    <row r="135">
      <c r="I135" s="55"/>
    </row>
    <row r="136">
      <c r="I136" s="55"/>
    </row>
    <row r="137">
      <c r="I137" s="55"/>
    </row>
    <row r="138">
      <c r="I138" s="55"/>
    </row>
    <row r="139">
      <c r="I139" s="55"/>
    </row>
    <row r="140">
      <c r="I140" s="55"/>
    </row>
    <row r="141">
      <c r="I141" s="55"/>
    </row>
    <row r="142">
      <c r="I142" s="55"/>
    </row>
    <row r="143">
      <c r="I143" s="55"/>
    </row>
    <row r="144">
      <c r="I144" s="55"/>
    </row>
    <row r="145">
      <c r="I145" s="55"/>
    </row>
    <row r="146">
      <c r="I146" s="55"/>
    </row>
    <row r="147">
      <c r="I147" s="55"/>
    </row>
    <row r="148">
      <c r="I148" s="55"/>
    </row>
    <row r="149">
      <c r="I149" s="55"/>
    </row>
    <row r="150">
      <c r="I150" s="55"/>
    </row>
    <row r="151">
      <c r="I151" s="55"/>
    </row>
    <row r="152">
      <c r="I152" s="55"/>
    </row>
    <row r="153">
      <c r="I153" s="55"/>
    </row>
    <row r="154">
      <c r="I154" s="55"/>
    </row>
    <row r="155">
      <c r="I155" s="55"/>
    </row>
    <row r="156">
      <c r="I156" s="55"/>
    </row>
    <row r="157">
      <c r="I157" s="55"/>
    </row>
    <row r="158">
      <c r="I158" s="55"/>
    </row>
    <row r="159">
      <c r="I159" s="55"/>
    </row>
    <row r="160">
      <c r="I160" s="55"/>
    </row>
    <row r="161">
      <c r="I161" s="55"/>
    </row>
    <row r="162">
      <c r="I162" s="55"/>
    </row>
    <row r="163">
      <c r="I163" s="55"/>
    </row>
    <row r="164">
      <c r="I164" s="55"/>
    </row>
    <row r="165">
      <c r="I165" s="55"/>
    </row>
    <row r="166">
      <c r="I166" s="55"/>
    </row>
    <row r="167">
      <c r="I167" s="55"/>
    </row>
    <row r="168">
      <c r="I168" s="55"/>
    </row>
    <row r="169">
      <c r="I169" s="55"/>
    </row>
    <row r="170">
      <c r="I170" s="55"/>
    </row>
    <row r="171">
      <c r="I171" s="55"/>
    </row>
    <row r="172">
      <c r="I172" s="55"/>
    </row>
    <row r="173">
      <c r="I173" s="55"/>
    </row>
    <row r="174">
      <c r="I174" s="55"/>
    </row>
    <row r="175">
      <c r="I175" s="55"/>
    </row>
    <row r="176">
      <c r="I176" s="55"/>
    </row>
    <row r="177">
      <c r="I177" s="55"/>
    </row>
    <row r="178">
      <c r="I178" s="55"/>
    </row>
    <row r="179">
      <c r="I179" s="55"/>
    </row>
    <row r="180">
      <c r="I180" s="55"/>
    </row>
    <row r="181">
      <c r="I181" s="55"/>
    </row>
    <row r="182">
      <c r="I182" s="55"/>
    </row>
    <row r="183">
      <c r="I183" s="55"/>
    </row>
    <row r="184">
      <c r="I184" s="55"/>
    </row>
    <row r="185">
      <c r="I185" s="55"/>
    </row>
    <row r="186">
      <c r="I186" s="55"/>
    </row>
    <row r="187">
      <c r="I187" s="55"/>
    </row>
    <row r="188">
      <c r="I188" s="55"/>
    </row>
    <row r="189">
      <c r="I189" s="55"/>
    </row>
    <row r="190">
      <c r="I190" s="55"/>
    </row>
    <row r="191">
      <c r="I191" s="55"/>
    </row>
    <row r="192">
      <c r="I192" s="55"/>
    </row>
    <row r="193">
      <c r="I193" s="55"/>
    </row>
    <row r="194">
      <c r="I194" s="55"/>
    </row>
    <row r="195">
      <c r="I195" s="55"/>
    </row>
    <row r="196">
      <c r="I196" s="55"/>
    </row>
    <row r="197">
      <c r="I197" s="55"/>
    </row>
    <row r="198">
      <c r="I198" s="55"/>
    </row>
    <row r="199">
      <c r="I199" s="55"/>
    </row>
    <row r="200">
      <c r="I200" s="55"/>
    </row>
    <row r="201">
      <c r="I201" s="55"/>
    </row>
    <row r="202">
      <c r="I202" s="55"/>
    </row>
    <row r="203">
      <c r="I203" s="55"/>
    </row>
    <row r="204">
      <c r="I204" s="55"/>
    </row>
    <row r="205">
      <c r="I205" s="55"/>
    </row>
    <row r="206">
      <c r="I206" s="55"/>
    </row>
    <row r="207">
      <c r="I207" s="55"/>
    </row>
    <row r="208">
      <c r="I208" s="55"/>
    </row>
    <row r="209">
      <c r="I209" s="55"/>
    </row>
    <row r="210">
      <c r="I210" s="55"/>
    </row>
    <row r="211">
      <c r="I211" s="55"/>
    </row>
    <row r="212">
      <c r="I212" s="55"/>
    </row>
    <row r="213">
      <c r="I213" s="55"/>
    </row>
    <row r="214">
      <c r="I214" s="55"/>
    </row>
    <row r="215">
      <c r="I215" s="55"/>
    </row>
    <row r="216">
      <c r="I216" s="55"/>
    </row>
    <row r="217">
      <c r="I217" s="55"/>
    </row>
    <row r="218">
      <c r="I218" s="55"/>
    </row>
    <row r="219">
      <c r="I219" s="55"/>
    </row>
    <row r="220">
      <c r="I220" s="55"/>
    </row>
    <row r="221">
      <c r="I221" s="55"/>
    </row>
    <row r="222">
      <c r="I222" s="55"/>
    </row>
    <row r="223">
      <c r="I223" s="55"/>
    </row>
    <row r="224">
      <c r="I224" s="55"/>
    </row>
    <row r="225">
      <c r="I225" s="55"/>
    </row>
    <row r="226">
      <c r="I226" s="55"/>
    </row>
    <row r="227">
      <c r="I227" s="55"/>
    </row>
    <row r="228">
      <c r="I228" s="55"/>
    </row>
    <row r="229">
      <c r="I229" s="55"/>
    </row>
    <row r="230">
      <c r="I230" s="55"/>
    </row>
    <row r="231">
      <c r="I231" s="55"/>
    </row>
    <row r="232">
      <c r="I232" s="55"/>
    </row>
    <row r="233">
      <c r="I233" s="55"/>
    </row>
    <row r="234">
      <c r="I234" s="55"/>
    </row>
    <row r="235">
      <c r="I235" s="55"/>
    </row>
    <row r="236">
      <c r="I236" s="55"/>
    </row>
    <row r="237">
      <c r="I237" s="55"/>
    </row>
    <row r="238">
      <c r="I238" s="55"/>
    </row>
    <row r="239">
      <c r="I239" s="55"/>
    </row>
    <row r="240">
      <c r="I240" s="55"/>
    </row>
    <row r="241">
      <c r="I241" s="55"/>
    </row>
    <row r="242">
      <c r="I242" s="55"/>
    </row>
    <row r="243">
      <c r="I243" s="55"/>
    </row>
    <row r="244">
      <c r="I244" s="55"/>
    </row>
    <row r="245">
      <c r="I245" s="55"/>
    </row>
    <row r="246">
      <c r="I246" s="55"/>
    </row>
    <row r="247">
      <c r="I247" s="55"/>
    </row>
    <row r="248">
      <c r="I248" s="55"/>
    </row>
    <row r="249">
      <c r="I249" s="55"/>
    </row>
    <row r="250">
      <c r="I250" s="55"/>
    </row>
    <row r="251">
      <c r="I251" s="55"/>
    </row>
    <row r="252">
      <c r="I252" s="55"/>
    </row>
    <row r="253">
      <c r="I253" s="55"/>
    </row>
    <row r="254">
      <c r="I254" s="55"/>
    </row>
    <row r="255">
      <c r="I255" s="55"/>
    </row>
    <row r="256">
      <c r="I256" s="55"/>
    </row>
    <row r="257">
      <c r="I257" s="55"/>
    </row>
    <row r="258">
      <c r="I258" s="55"/>
    </row>
    <row r="259">
      <c r="I259" s="55"/>
    </row>
    <row r="260">
      <c r="I260" s="55"/>
    </row>
    <row r="261">
      <c r="I261" s="55"/>
    </row>
    <row r="262">
      <c r="I262" s="55"/>
    </row>
    <row r="263">
      <c r="I263" s="55"/>
    </row>
    <row r="264">
      <c r="I264" s="55"/>
    </row>
    <row r="265">
      <c r="I265" s="55"/>
    </row>
    <row r="266">
      <c r="I266" s="55"/>
    </row>
    <row r="267">
      <c r="I267" s="55"/>
    </row>
    <row r="268">
      <c r="I268" s="55"/>
    </row>
    <row r="269">
      <c r="I269" s="55"/>
    </row>
    <row r="270">
      <c r="I270" s="55"/>
    </row>
    <row r="271">
      <c r="I271" s="55"/>
    </row>
    <row r="272">
      <c r="I272" s="55"/>
    </row>
    <row r="273">
      <c r="I273" s="55"/>
    </row>
    <row r="274">
      <c r="I274" s="55"/>
    </row>
    <row r="275">
      <c r="I275" s="55"/>
    </row>
    <row r="276">
      <c r="I276" s="55"/>
    </row>
    <row r="277">
      <c r="I277" s="55"/>
    </row>
    <row r="278">
      <c r="I278" s="55"/>
    </row>
    <row r="279">
      <c r="I279" s="55"/>
    </row>
    <row r="280">
      <c r="I280" s="55"/>
    </row>
    <row r="281">
      <c r="I281" s="55"/>
    </row>
    <row r="282">
      <c r="I282" s="55"/>
    </row>
    <row r="283">
      <c r="I283" s="55"/>
    </row>
    <row r="284">
      <c r="I284" s="55"/>
    </row>
    <row r="285">
      <c r="I285" s="55"/>
    </row>
    <row r="286">
      <c r="I286" s="55"/>
    </row>
    <row r="287">
      <c r="I287" s="55"/>
    </row>
    <row r="288">
      <c r="I288" s="55"/>
    </row>
    <row r="289">
      <c r="I289" s="55"/>
    </row>
    <row r="290">
      <c r="I290" s="55"/>
    </row>
    <row r="291">
      <c r="I291" s="55"/>
    </row>
    <row r="292">
      <c r="I292" s="55"/>
    </row>
    <row r="293">
      <c r="I293" s="55"/>
    </row>
    <row r="294">
      <c r="I294" s="55"/>
    </row>
    <row r="295">
      <c r="I295" s="55"/>
    </row>
    <row r="296">
      <c r="I296" s="55"/>
    </row>
    <row r="297">
      <c r="I297" s="55"/>
    </row>
    <row r="298">
      <c r="I298" s="55"/>
    </row>
    <row r="299">
      <c r="I299" s="55"/>
    </row>
    <row r="300">
      <c r="I300" s="55"/>
    </row>
    <row r="301">
      <c r="I301" s="55"/>
    </row>
    <row r="302">
      <c r="I302" s="55"/>
    </row>
    <row r="303">
      <c r="I303" s="55"/>
    </row>
    <row r="304">
      <c r="I304" s="55"/>
    </row>
    <row r="305">
      <c r="I305" s="55"/>
    </row>
    <row r="306">
      <c r="I306" s="55"/>
    </row>
    <row r="307">
      <c r="I307" s="55"/>
    </row>
    <row r="308">
      <c r="I308" s="55"/>
    </row>
    <row r="309">
      <c r="I309" s="55"/>
    </row>
    <row r="310">
      <c r="I310" s="55"/>
    </row>
    <row r="311">
      <c r="I311" s="55"/>
    </row>
    <row r="312">
      <c r="I312" s="55"/>
    </row>
    <row r="313">
      <c r="I313" s="55"/>
    </row>
    <row r="314">
      <c r="I314" s="55"/>
    </row>
    <row r="315">
      <c r="I315" s="55"/>
    </row>
    <row r="316">
      <c r="I316" s="55"/>
    </row>
    <row r="317">
      <c r="I317" s="55"/>
    </row>
    <row r="318">
      <c r="I318" s="55"/>
    </row>
    <row r="319">
      <c r="I319" s="55"/>
    </row>
    <row r="320">
      <c r="I320" s="55"/>
    </row>
    <row r="321">
      <c r="I321" s="55"/>
    </row>
    <row r="322">
      <c r="I322" s="55"/>
    </row>
    <row r="323">
      <c r="I323" s="55"/>
    </row>
    <row r="324">
      <c r="I324" s="55"/>
    </row>
    <row r="325">
      <c r="I325" s="55"/>
    </row>
    <row r="326">
      <c r="I326" s="55"/>
    </row>
    <row r="327">
      <c r="I327" s="55"/>
    </row>
    <row r="328">
      <c r="I328" s="55"/>
    </row>
    <row r="329">
      <c r="I329" s="55"/>
    </row>
    <row r="330">
      <c r="I330" s="55"/>
    </row>
    <row r="331">
      <c r="I331" s="55"/>
    </row>
    <row r="332">
      <c r="I332" s="55"/>
    </row>
    <row r="333">
      <c r="I333" s="55"/>
    </row>
    <row r="334">
      <c r="I334" s="55"/>
    </row>
    <row r="335">
      <c r="I335" s="55"/>
    </row>
    <row r="336">
      <c r="I336" s="55"/>
    </row>
    <row r="337">
      <c r="I337" s="55"/>
    </row>
    <row r="338">
      <c r="I338" s="55"/>
    </row>
    <row r="339">
      <c r="I339" s="55"/>
    </row>
    <row r="340">
      <c r="I340" s="55"/>
    </row>
    <row r="341">
      <c r="I341" s="55"/>
    </row>
    <row r="342">
      <c r="I342" s="55"/>
    </row>
    <row r="343">
      <c r="I343" s="55"/>
    </row>
    <row r="344">
      <c r="I344" s="55"/>
    </row>
    <row r="345">
      <c r="I345" s="55"/>
    </row>
    <row r="346">
      <c r="I346" s="55"/>
    </row>
    <row r="347">
      <c r="I347" s="55"/>
    </row>
    <row r="348">
      <c r="I348" s="55"/>
    </row>
    <row r="349">
      <c r="I349" s="55"/>
    </row>
    <row r="350">
      <c r="I350" s="55"/>
    </row>
    <row r="351">
      <c r="I351" s="55"/>
    </row>
    <row r="352">
      <c r="I352" s="55"/>
    </row>
    <row r="353">
      <c r="I353" s="55"/>
    </row>
    <row r="354">
      <c r="I354" s="55"/>
    </row>
    <row r="355">
      <c r="I355" s="55"/>
    </row>
    <row r="356">
      <c r="I356" s="55"/>
    </row>
    <row r="357">
      <c r="I357" s="55"/>
    </row>
    <row r="358">
      <c r="I358" s="55"/>
    </row>
    <row r="359">
      <c r="I359" s="55"/>
    </row>
    <row r="360">
      <c r="I360" s="55"/>
    </row>
    <row r="361">
      <c r="I361" s="55"/>
    </row>
    <row r="362">
      <c r="I362" s="55"/>
    </row>
    <row r="363">
      <c r="I363" s="55"/>
    </row>
    <row r="364">
      <c r="I364" s="55"/>
    </row>
    <row r="365">
      <c r="I365" s="55"/>
    </row>
    <row r="366">
      <c r="I366" s="55"/>
    </row>
    <row r="367">
      <c r="I367" s="55"/>
    </row>
    <row r="368">
      <c r="I368" s="55"/>
    </row>
    <row r="369">
      <c r="I369" s="55"/>
    </row>
    <row r="370">
      <c r="I370" s="55"/>
    </row>
    <row r="371">
      <c r="I371" s="55"/>
    </row>
    <row r="372">
      <c r="I372" s="55"/>
    </row>
    <row r="373">
      <c r="I373" s="55"/>
    </row>
    <row r="374">
      <c r="I374" s="55"/>
    </row>
    <row r="375">
      <c r="I375" s="55"/>
    </row>
    <row r="376">
      <c r="I376" s="55"/>
    </row>
    <row r="377">
      <c r="I377" s="55"/>
    </row>
    <row r="378">
      <c r="I378" s="55"/>
    </row>
    <row r="379">
      <c r="I379" s="55"/>
    </row>
    <row r="380">
      <c r="I380" s="55"/>
    </row>
    <row r="381">
      <c r="I381" s="55"/>
    </row>
    <row r="382">
      <c r="I382" s="55"/>
    </row>
    <row r="383">
      <c r="I383" s="55"/>
    </row>
    <row r="384">
      <c r="I384" s="55"/>
    </row>
    <row r="385">
      <c r="I385" s="55"/>
    </row>
    <row r="386">
      <c r="I386" s="55"/>
    </row>
    <row r="387">
      <c r="I387" s="55"/>
    </row>
    <row r="388">
      <c r="I388" s="55"/>
    </row>
    <row r="389">
      <c r="I389" s="55"/>
    </row>
    <row r="390">
      <c r="I390" s="55"/>
    </row>
    <row r="391">
      <c r="I391" s="55"/>
    </row>
    <row r="392">
      <c r="I392" s="55"/>
    </row>
    <row r="393">
      <c r="I393" s="55"/>
    </row>
    <row r="394">
      <c r="I394" s="55"/>
    </row>
    <row r="395">
      <c r="I395" s="55"/>
    </row>
    <row r="396">
      <c r="I396" s="55"/>
    </row>
    <row r="397">
      <c r="I397" s="55"/>
    </row>
    <row r="398">
      <c r="I398" s="55"/>
    </row>
    <row r="399">
      <c r="I399" s="55"/>
    </row>
    <row r="400">
      <c r="I400" s="55"/>
    </row>
    <row r="401">
      <c r="I401" s="55"/>
    </row>
    <row r="402">
      <c r="I402" s="55"/>
    </row>
    <row r="403">
      <c r="I403" s="55"/>
    </row>
    <row r="404">
      <c r="I404" s="55"/>
    </row>
    <row r="405">
      <c r="I405" s="55"/>
    </row>
    <row r="406">
      <c r="I406" s="55"/>
    </row>
    <row r="407">
      <c r="I407" s="55"/>
    </row>
    <row r="408">
      <c r="I408" s="55"/>
    </row>
    <row r="409">
      <c r="I409" s="55"/>
    </row>
    <row r="410">
      <c r="I410" s="55"/>
    </row>
    <row r="411">
      <c r="I411" s="55"/>
    </row>
    <row r="412">
      <c r="I412" s="55"/>
    </row>
    <row r="413">
      <c r="I413" s="55"/>
    </row>
    <row r="414">
      <c r="I414" s="55"/>
    </row>
    <row r="415">
      <c r="I415" s="55"/>
    </row>
    <row r="416">
      <c r="I416" s="55"/>
    </row>
    <row r="417">
      <c r="I417" s="55"/>
    </row>
    <row r="418">
      <c r="I418" s="55"/>
    </row>
    <row r="419">
      <c r="I419" s="55"/>
    </row>
    <row r="420">
      <c r="I420" s="55"/>
    </row>
    <row r="421">
      <c r="I421" s="55"/>
    </row>
    <row r="422">
      <c r="I422" s="55"/>
    </row>
    <row r="423">
      <c r="I423" s="55"/>
    </row>
    <row r="424">
      <c r="I424" s="55"/>
    </row>
    <row r="425">
      <c r="I425" s="55"/>
    </row>
    <row r="426">
      <c r="I426" s="55"/>
    </row>
    <row r="427">
      <c r="I427" s="55"/>
    </row>
    <row r="428">
      <c r="I428" s="55"/>
    </row>
    <row r="429">
      <c r="I429" s="55"/>
    </row>
    <row r="430">
      <c r="I430" s="55"/>
    </row>
    <row r="431">
      <c r="I431" s="55"/>
    </row>
    <row r="432">
      <c r="I432" s="55"/>
    </row>
    <row r="433">
      <c r="I433" s="55"/>
    </row>
    <row r="434">
      <c r="I434" s="55"/>
    </row>
    <row r="435">
      <c r="I435" s="55"/>
    </row>
    <row r="436">
      <c r="I436" s="55"/>
    </row>
    <row r="437">
      <c r="I437" s="55"/>
    </row>
    <row r="438">
      <c r="I438" s="55"/>
    </row>
    <row r="439">
      <c r="I439" s="55"/>
    </row>
    <row r="440">
      <c r="I440" s="55"/>
    </row>
    <row r="441">
      <c r="I441" s="55"/>
    </row>
    <row r="442">
      <c r="I442" s="55"/>
    </row>
    <row r="443">
      <c r="I443" s="55"/>
    </row>
    <row r="444">
      <c r="I444" s="55"/>
    </row>
    <row r="445">
      <c r="I445" s="55"/>
    </row>
    <row r="446">
      <c r="I446" s="55"/>
    </row>
    <row r="447">
      <c r="I447" s="55"/>
    </row>
    <row r="448">
      <c r="I448" s="55"/>
    </row>
    <row r="449">
      <c r="I449" s="55"/>
    </row>
    <row r="450">
      <c r="I450" s="55"/>
    </row>
    <row r="451">
      <c r="I451" s="55"/>
    </row>
    <row r="452">
      <c r="I452" s="55"/>
    </row>
    <row r="453">
      <c r="I453" s="55"/>
    </row>
    <row r="454">
      <c r="I454" s="55"/>
    </row>
    <row r="455">
      <c r="I455" s="55"/>
    </row>
    <row r="456">
      <c r="I456" s="55"/>
    </row>
    <row r="457">
      <c r="I457" s="55"/>
    </row>
    <row r="458">
      <c r="I458" s="55"/>
    </row>
    <row r="459">
      <c r="I459" s="55"/>
    </row>
    <row r="460">
      <c r="I460" s="55"/>
    </row>
    <row r="461">
      <c r="I461" s="55"/>
    </row>
    <row r="462">
      <c r="I462" s="55"/>
    </row>
    <row r="463">
      <c r="I463" s="55"/>
    </row>
    <row r="464">
      <c r="I464" s="55"/>
    </row>
    <row r="465">
      <c r="I465" s="55"/>
    </row>
    <row r="466">
      <c r="I466" s="55"/>
    </row>
    <row r="467">
      <c r="I467" s="55"/>
    </row>
    <row r="468">
      <c r="I468" s="55"/>
    </row>
    <row r="469">
      <c r="I469" s="55"/>
    </row>
    <row r="470">
      <c r="I470" s="55"/>
    </row>
    <row r="471">
      <c r="I471" s="55"/>
    </row>
    <row r="472">
      <c r="I472" s="55"/>
    </row>
    <row r="473">
      <c r="I473" s="55"/>
    </row>
    <row r="474">
      <c r="I474" s="55"/>
    </row>
    <row r="475">
      <c r="I475" s="55"/>
    </row>
    <row r="476">
      <c r="I476" s="55"/>
    </row>
    <row r="477">
      <c r="I477" s="55"/>
    </row>
    <row r="478">
      <c r="I478" s="55"/>
    </row>
    <row r="479">
      <c r="I479" s="55"/>
    </row>
    <row r="480">
      <c r="I480" s="55"/>
    </row>
    <row r="481">
      <c r="I481" s="55"/>
    </row>
    <row r="482">
      <c r="I482" s="55"/>
    </row>
    <row r="483">
      <c r="I483" s="55"/>
    </row>
    <row r="484">
      <c r="I484" s="55"/>
    </row>
    <row r="485">
      <c r="I485" s="55"/>
    </row>
    <row r="486">
      <c r="I486" s="55"/>
    </row>
    <row r="487">
      <c r="I487" s="55"/>
    </row>
    <row r="488">
      <c r="I488" s="55"/>
    </row>
    <row r="489">
      <c r="I489" s="55"/>
    </row>
    <row r="490">
      <c r="I490" s="55"/>
    </row>
    <row r="491">
      <c r="I491" s="55"/>
    </row>
    <row r="492">
      <c r="I492" s="55"/>
    </row>
    <row r="493">
      <c r="I493" s="55"/>
    </row>
    <row r="494">
      <c r="I494" s="55"/>
    </row>
    <row r="495">
      <c r="I495" s="55"/>
    </row>
    <row r="496">
      <c r="I496" s="55"/>
    </row>
    <row r="497">
      <c r="I497" s="55"/>
    </row>
    <row r="498">
      <c r="I498" s="55"/>
    </row>
    <row r="499">
      <c r="I499" s="55"/>
    </row>
    <row r="500">
      <c r="I500" s="55"/>
    </row>
    <row r="501">
      <c r="I501" s="55"/>
    </row>
    <row r="502">
      <c r="I502" s="55"/>
    </row>
    <row r="503">
      <c r="I503" s="55"/>
    </row>
    <row r="504">
      <c r="I504" s="55"/>
    </row>
    <row r="505">
      <c r="I505" s="55"/>
    </row>
    <row r="506">
      <c r="I506" s="55"/>
    </row>
    <row r="507">
      <c r="I507" s="55"/>
    </row>
    <row r="508">
      <c r="I508" s="55"/>
    </row>
    <row r="509">
      <c r="I509" s="55"/>
    </row>
    <row r="510">
      <c r="I510" s="55"/>
    </row>
    <row r="511">
      <c r="I511" s="55"/>
    </row>
    <row r="512">
      <c r="I512" s="55"/>
    </row>
    <row r="513">
      <c r="I513" s="55"/>
    </row>
    <row r="514">
      <c r="I514" s="55"/>
    </row>
    <row r="515">
      <c r="I515" s="55"/>
    </row>
    <row r="516">
      <c r="I516" s="55"/>
    </row>
    <row r="517">
      <c r="I517" s="55"/>
    </row>
    <row r="518">
      <c r="I518" s="55"/>
    </row>
    <row r="519">
      <c r="I519" s="55"/>
    </row>
    <row r="520">
      <c r="I520" s="55"/>
    </row>
    <row r="521">
      <c r="I521" s="55"/>
    </row>
    <row r="522">
      <c r="I522" s="55"/>
    </row>
    <row r="523">
      <c r="I523" s="55"/>
    </row>
    <row r="524">
      <c r="I524" s="55"/>
    </row>
    <row r="525">
      <c r="I525" s="55"/>
    </row>
    <row r="526">
      <c r="I526" s="55"/>
    </row>
    <row r="527">
      <c r="I527" s="55"/>
    </row>
    <row r="528">
      <c r="I528" s="55"/>
    </row>
    <row r="529">
      <c r="I529" s="55"/>
    </row>
    <row r="530">
      <c r="I530" s="55"/>
    </row>
    <row r="531">
      <c r="I531" s="55"/>
    </row>
    <row r="532">
      <c r="I532" s="55"/>
    </row>
    <row r="533">
      <c r="I533" s="55"/>
    </row>
    <row r="534">
      <c r="I534" s="55"/>
    </row>
    <row r="535">
      <c r="I535" s="55"/>
    </row>
    <row r="536">
      <c r="I536" s="55"/>
    </row>
    <row r="537">
      <c r="I537" s="55"/>
    </row>
    <row r="538">
      <c r="I538" s="55"/>
    </row>
    <row r="539">
      <c r="I539" s="55"/>
    </row>
    <row r="540">
      <c r="I540" s="55"/>
    </row>
    <row r="541">
      <c r="I541" s="55"/>
    </row>
    <row r="542">
      <c r="I542" s="55"/>
    </row>
    <row r="543">
      <c r="I543" s="55"/>
    </row>
    <row r="544">
      <c r="I544" s="55"/>
    </row>
    <row r="545">
      <c r="I545" s="55"/>
    </row>
    <row r="546">
      <c r="I546" s="55"/>
    </row>
    <row r="547">
      <c r="I547" s="55"/>
    </row>
    <row r="548">
      <c r="I548" s="55"/>
    </row>
    <row r="549">
      <c r="I549" s="55"/>
    </row>
    <row r="550">
      <c r="I550" s="55"/>
    </row>
    <row r="551">
      <c r="I551" s="55"/>
    </row>
    <row r="552">
      <c r="I552" s="55"/>
    </row>
    <row r="553">
      <c r="I553" s="55"/>
    </row>
    <row r="554">
      <c r="I554" s="55"/>
    </row>
    <row r="555">
      <c r="I555" s="55"/>
    </row>
    <row r="556">
      <c r="I556" s="55"/>
    </row>
    <row r="557">
      <c r="I557" s="55"/>
    </row>
    <row r="558">
      <c r="I558" s="55"/>
    </row>
    <row r="559">
      <c r="I559" s="55"/>
    </row>
    <row r="560">
      <c r="I560" s="55"/>
    </row>
    <row r="561">
      <c r="I561" s="55"/>
    </row>
    <row r="562">
      <c r="I562" s="55"/>
    </row>
    <row r="563">
      <c r="I563" s="55"/>
    </row>
    <row r="564">
      <c r="I564" s="55"/>
    </row>
    <row r="565">
      <c r="I565" s="55"/>
    </row>
    <row r="566">
      <c r="I566" s="55"/>
    </row>
    <row r="567">
      <c r="I567" s="55"/>
    </row>
    <row r="568">
      <c r="I568" s="55"/>
    </row>
    <row r="569">
      <c r="I569" s="55"/>
    </row>
    <row r="570">
      <c r="I570" s="55"/>
    </row>
    <row r="571">
      <c r="I571" s="55"/>
    </row>
    <row r="572">
      <c r="I572" s="55"/>
    </row>
    <row r="573">
      <c r="I573" s="55"/>
    </row>
    <row r="574">
      <c r="I574" s="55"/>
    </row>
    <row r="575">
      <c r="I575" s="55"/>
    </row>
    <row r="576">
      <c r="I576" s="55"/>
    </row>
    <row r="577">
      <c r="I577" s="55"/>
    </row>
    <row r="578">
      <c r="I578" s="55"/>
    </row>
    <row r="579">
      <c r="I579" s="55"/>
    </row>
    <row r="580">
      <c r="I580" s="55"/>
    </row>
    <row r="581">
      <c r="I581" s="55"/>
    </row>
    <row r="582">
      <c r="I582" s="55"/>
    </row>
    <row r="583">
      <c r="I583" s="55"/>
    </row>
    <row r="584">
      <c r="I584" s="55"/>
    </row>
    <row r="585">
      <c r="I585" s="55"/>
    </row>
    <row r="586">
      <c r="I586" s="55"/>
    </row>
    <row r="587">
      <c r="I587" s="55"/>
    </row>
    <row r="588">
      <c r="I588" s="55"/>
    </row>
    <row r="589">
      <c r="I589" s="55"/>
    </row>
    <row r="590">
      <c r="I590" s="55"/>
    </row>
    <row r="591">
      <c r="I591" s="55"/>
    </row>
    <row r="592">
      <c r="I592" s="55"/>
    </row>
    <row r="593">
      <c r="I593" s="55"/>
    </row>
    <row r="594">
      <c r="I594" s="55"/>
    </row>
    <row r="595">
      <c r="I595" s="55"/>
    </row>
    <row r="596">
      <c r="I596" s="55"/>
    </row>
    <row r="597">
      <c r="I597" s="55"/>
    </row>
    <row r="598">
      <c r="I598" s="55"/>
    </row>
    <row r="599">
      <c r="I599" s="55"/>
    </row>
    <row r="600">
      <c r="I600" s="55"/>
    </row>
    <row r="601">
      <c r="I601" s="55"/>
    </row>
    <row r="602">
      <c r="I602" s="55"/>
    </row>
    <row r="603">
      <c r="I603" s="55"/>
    </row>
    <row r="604">
      <c r="I604" s="55"/>
    </row>
    <row r="605">
      <c r="I605" s="55"/>
    </row>
    <row r="606">
      <c r="I606" s="55"/>
    </row>
    <row r="607">
      <c r="I607" s="55"/>
    </row>
    <row r="608">
      <c r="I608" s="55"/>
    </row>
    <row r="609">
      <c r="I609" s="55"/>
    </row>
    <row r="610">
      <c r="I610" s="55"/>
    </row>
    <row r="611">
      <c r="I611" s="55"/>
    </row>
    <row r="612">
      <c r="I612" s="55"/>
    </row>
    <row r="613">
      <c r="I613" s="55"/>
    </row>
    <row r="614">
      <c r="I614" s="55"/>
    </row>
    <row r="615">
      <c r="I615" s="55"/>
    </row>
    <row r="616">
      <c r="I616" s="55"/>
    </row>
    <row r="617">
      <c r="I617" s="55"/>
    </row>
    <row r="618">
      <c r="I618" s="55"/>
    </row>
    <row r="619">
      <c r="I619" s="55"/>
    </row>
    <row r="620">
      <c r="I620" s="55"/>
    </row>
    <row r="621">
      <c r="I621" s="55"/>
    </row>
    <row r="622">
      <c r="I622" s="55"/>
    </row>
    <row r="623">
      <c r="I623" s="55"/>
    </row>
    <row r="624">
      <c r="I624" s="55"/>
    </row>
    <row r="625">
      <c r="I625" s="55"/>
    </row>
    <row r="626">
      <c r="I626" s="55"/>
    </row>
    <row r="627">
      <c r="I627" s="55"/>
    </row>
    <row r="628">
      <c r="I628" s="55"/>
    </row>
    <row r="629">
      <c r="I629" s="55"/>
    </row>
    <row r="630">
      <c r="I630" s="55"/>
    </row>
    <row r="631">
      <c r="I631" s="55"/>
    </row>
    <row r="632">
      <c r="I632" s="55"/>
    </row>
    <row r="633">
      <c r="I633" s="55"/>
    </row>
    <row r="634">
      <c r="I634" s="55"/>
    </row>
    <row r="635">
      <c r="I635" s="55"/>
    </row>
    <row r="636">
      <c r="I636" s="55"/>
    </row>
    <row r="637">
      <c r="I637" s="55"/>
    </row>
    <row r="638">
      <c r="I638" s="55"/>
    </row>
    <row r="639">
      <c r="I639" s="55"/>
    </row>
    <row r="640">
      <c r="I640" s="55"/>
    </row>
    <row r="641">
      <c r="I641" s="55"/>
    </row>
    <row r="642">
      <c r="I642" s="55"/>
    </row>
    <row r="643">
      <c r="I643" s="55"/>
    </row>
    <row r="644">
      <c r="I644" s="55"/>
    </row>
    <row r="645">
      <c r="I645" s="55"/>
    </row>
    <row r="646">
      <c r="I646" s="55"/>
    </row>
    <row r="647">
      <c r="I647" s="55"/>
    </row>
    <row r="648">
      <c r="I648" s="55"/>
    </row>
    <row r="649">
      <c r="I649" s="55"/>
    </row>
    <row r="650">
      <c r="I650" s="55"/>
    </row>
    <row r="651">
      <c r="I651" s="55"/>
    </row>
    <row r="652">
      <c r="I652" s="55"/>
    </row>
    <row r="653">
      <c r="I653" s="55"/>
    </row>
    <row r="654">
      <c r="I654" s="55"/>
    </row>
    <row r="655">
      <c r="I655" s="55"/>
    </row>
    <row r="656">
      <c r="I656" s="55"/>
    </row>
    <row r="657">
      <c r="I657" s="55"/>
    </row>
    <row r="658">
      <c r="I658" s="55"/>
    </row>
    <row r="659">
      <c r="I659" s="55"/>
    </row>
    <row r="660">
      <c r="I660" s="55"/>
    </row>
    <row r="661">
      <c r="I661" s="55"/>
    </row>
    <row r="662">
      <c r="I662" s="55"/>
    </row>
    <row r="663">
      <c r="I663" s="55"/>
    </row>
    <row r="664">
      <c r="I664" s="55"/>
    </row>
    <row r="665">
      <c r="I665" s="55"/>
    </row>
    <row r="666">
      <c r="I666" s="55"/>
    </row>
    <row r="667">
      <c r="I667" s="55"/>
    </row>
    <row r="668">
      <c r="I668" s="55"/>
    </row>
    <row r="669">
      <c r="I669" s="55"/>
    </row>
    <row r="670">
      <c r="I670" s="55"/>
    </row>
    <row r="671">
      <c r="I671" s="55"/>
    </row>
    <row r="672">
      <c r="I672" s="55"/>
    </row>
    <row r="673">
      <c r="I673" s="55"/>
    </row>
    <row r="674">
      <c r="I674" s="55"/>
    </row>
    <row r="675">
      <c r="I675" s="55"/>
    </row>
    <row r="676">
      <c r="I676" s="55"/>
    </row>
    <row r="677">
      <c r="I677" s="55"/>
    </row>
    <row r="678">
      <c r="I678" s="55"/>
    </row>
    <row r="679">
      <c r="I679" s="55"/>
    </row>
    <row r="680">
      <c r="I680" s="55"/>
    </row>
    <row r="681">
      <c r="I681" s="55"/>
    </row>
    <row r="682">
      <c r="I682" s="55"/>
    </row>
    <row r="683">
      <c r="I683" s="55"/>
    </row>
    <row r="684">
      <c r="I684" s="55"/>
    </row>
    <row r="685">
      <c r="I685" s="55"/>
    </row>
    <row r="686">
      <c r="I686" s="55"/>
    </row>
    <row r="687">
      <c r="I687" s="55"/>
    </row>
    <row r="688">
      <c r="I688" s="55"/>
    </row>
    <row r="689">
      <c r="I689" s="55"/>
    </row>
    <row r="690">
      <c r="I690" s="55"/>
    </row>
    <row r="691">
      <c r="I691" s="55"/>
    </row>
    <row r="692">
      <c r="I692" s="55"/>
    </row>
    <row r="693">
      <c r="I693" s="55"/>
    </row>
    <row r="694">
      <c r="I694" s="55"/>
    </row>
    <row r="695">
      <c r="I695" s="55"/>
    </row>
    <row r="696">
      <c r="I696" s="55"/>
    </row>
    <row r="697">
      <c r="I697" s="55"/>
    </row>
    <row r="698">
      <c r="I698" s="55"/>
    </row>
    <row r="699">
      <c r="I699" s="55"/>
    </row>
    <row r="700">
      <c r="I700" s="55"/>
    </row>
    <row r="701">
      <c r="I701" s="55"/>
    </row>
    <row r="702">
      <c r="I702" s="55"/>
    </row>
    <row r="703">
      <c r="I703" s="55"/>
    </row>
    <row r="704">
      <c r="I704" s="55"/>
    </row>
    <row r="705">
      <c r="I705" s="55"/>
    </row>
    <row r="706">
      <c r="I706" s="55"/>
    </row>
    <row r="707">
      <c r="I707" s="55"/>
    </row>
    <row r="708">
      <c r="I708" s="55"/>
    </row>
    <row r="709">
      <c r="I709" s="55"/>
    </row>
    <row r="710">
      <c r="I710" s="55"/>
    </row>
    <row r="711">
      <c r="I711" s="55"/>
    </row>
    <row r="712">
      <c r="I712" s="55"/>
    </row>
    <row r="713">
      <c r="I713" s="55"/>
    </row>
    <row r="714">
      <c r="I714" s="55"/>
    </row>
    <row r="715">
      <c r="I715" s="55"/>
    </row>
    <row r="716">
      <c r="I716" s="55"/>
    </row>
    <row r="717">
      <c r="I717" s="55"/>
    </row>
    <row r="718">
      <c r="I718" s="55"/>
    </row>
    <row r="719">
      <c r="I719" s="55"/>
    </row>
    <row r="720">
      <c r="I720" s="55"/>
    </row>
    <row r="721">
      <c r="I721" s="55"/>
    </row>
    <row r="722">
      <c r="I722" s="55"/>
    </row>
    <row r="723">
      <c r="I723" s="55"/>
    </row>
    <row r="724">
      <c r="I724" s="55"/>
    </row>
    <row r="725">
      <c r="I725" s="55"/>
    </row>
    <row r="726">
      <c r="I726" s="55"/>
    </row>
    <row r="727">
      <c r="I727" s="55"/>
    </row>
    <row r="728">
      <c r="I728" s="55"/>
    </row>
    <row r="729">
      <c r="I729" s="55"/>
    </row>
    <row r="730">
      <c r="I730" s="55"/>
    </row>
    <row r="731">
      <c r="I731" s="55"/>
    </row>
    <row r="732">
      <c r="I732" s="55"/>
    </row>
    <row r="733">
      <c r="I733" s="55"/>
    </row>
    <row r="734">
      <c r="I734" s="55"/>
    </row>
    <row r="735">
      <c r="I735" s="55"/>
    </row>
    <row r="736">
      <c r="I736" s="55"/>
    </row>
    <row r="737">
      <c r="I737" s="55"/>
    </row>
    <row r="738">
      <c r="I738" s="55"/>
    </row>
    <row r="739">
      <c r="I739" s="55"/>
    </row>
    <row r="740">
      <c r="I740" s="55"/>
    </row>
    <row r="741">
      <c r="I741" s="55"/>
    </row>
    <row r="742">
      <c r="I742" s="55"/>
    </row>
    <row r="743">
      <c r="I743" s="55"/>
    </row>
    <row r="744">
      <c r="I744" s="55"/>
    </row>
    <row r="745">
      <c r="I745" s="55"/>
    </row>
    <row r="746">
      <c r="I746" s="55"/>
    </row>
    <row r="747">
      <c r="I747" s="55"/>
    </row>
    <row r="748">
      <c r="I748" s="55"/>
    </row>
    <row r="749">
      <c r="I749" s="55"/>
    </row>
    <row r="750">
      <c r="I750" s="55"/>
    </row>
    <row r="751">
      <c r="I751" s="55"/>
    </row>
    <row r="752">
      <c r="I752" s="55"/>
    </row>
    <row r="753">
      <c r="I753" s="55"/>
    </row>
    <row r="754">
      <c r="I754" s="55"/>
    </row>
    <row r="755">
      <c r="I755" s="55"/>
    </row>
    <row r="756">
      <c r="I756" s="55"/>
    </row>
    <row r="757">
      <c r="I757" s="55"/>
    </row>
    <row r="758">
      <c r="I758" s="55"/>
    </row>
    <row r="759">
      <c r="I759" s="55"/>
    </row>
    <row r="760">
      <c r="I760" s="55"/>
    </row>
    <row r="761">
      <c r="I761" s="55"/>
    </row>
    <row r="762">
      <c r="I762" s="55"/>
    </row>
    <row r="763">
      <c r="I763" s="55"/>
    </row>
    <row r="764">
      <c r="I764" s="55"/>
    </row>
    <row r="765">
      <c r="I765" s="55"/>
    </row>
    <row r="766">
      <c r="I766" s="55"/>
    </row>
    <row r="767">
      <c r="I767" s="55"/>
    </row>
    <row r="768">
      <c r="I768" s="55"/>
    </row>
    <row r="769">
      <c r="I769" s="55"/>
    </row>
    <row r="770">
      <c r="I770" s="55"/>
    </row>
    <row r="771">
      <c r="I771" s="55"/>
    </row>
    <row r="772">
      <c r="I772" s="55"/>
    </row>
    <row r="773">
      <c r="I773" s="55"/>
    </row>
    <row r="774">
      <c r="I774" s="55"/>
    </row>
    <row r="775">
      <c r="I775" s="55"/>
    </row>
    <row r="776">
      <c r="I776" s="55"/>
    </row>
    <row r="777">
      <c r="I777" s="55"/>
    </row>
    <row r="778">
      <c r="I778" s="55"/>
    </row>
    <row r="779">
      <c r="I779" s="55"/>
    </row>
    <row r="780">
      <c r="I780" s="55"/>
    </row>
    <row r="781">
      <c r="I781" s="55"/>
    </row>
    <row r="782">
      <c r="I782" s="55"/>
    </row>
    <row r="783">
      <c r="I783" s="55"/>
    </row>
    <row r="784">
      <c r="I784" s="55"/>
    </row>
    <row r="785">
      <c r="I785" s="55"/>
    </row>
    <row r="786">
      <c r="I786" s="55"/>
    </row>
    <row r="787">
      <c r="I787" s="55"/>
    </row>
    <row r="788">
      <c r="I788" s="55"/>
    </row>
    <row r="789">
      <c r="I789" s="55"/>
    </row>
    <row r="790">
      <c r="I790" s="55"/>
    </row>
    <row r="791">
      <c r="I791" s="55"/>
    </row>
    <row r="792">
      <c r="I792" s="55"/>
    </row>
    <row r="793">
      <c r="I793" s="55"/>
    </row>
    <row r="794">
      <c r="I794" s="55"/>
    </row>
    <row r="795">
      <c r="I795" s="55"/>
    </row>
    <row r="796">
      <c r="I796" s="55"/>
    </row>
    <row r="797">
      <c r="I797" s="55"/>
    </row>
    <row r="798">
      <c r="I798" s="55"/>
    </row>
    <row r="799">
      <c r="I799" s="55"/>
    </row>
    <row r="800">
      <c r="I800" s="55"/>
    </row>
    <row r="801">
      <c r="I801" s="55"/>
    </row>
    <row r="802">
      <c r="I802" s="55"/>
    </row>
    <row r="803">
      <c r="I803" s="55"/>
    </row>
    <row r="804">
      <c r="I804" s="55"/>
    </row>
    <row r="805">
      <c r="I805" s="55"/>
    </row>
    <row r="806">
      <c r="I806" s="55"/>
    </row>
    <row r="807">
      <c r="I807" s="55"/>
    </row>
    <row r="808">
      <c r="I808" s="55"/>
    </row>
    <row r="809">
      <c r="I809" s="55"/>
    </row>
    <row r="810">
      <c r="I810" s="55"/>
    </row>
    <row r="811">
      <c r="I811" s="55"/>
    </row>
    <row r="812">
      <c r="I812" s="55"/>
    </row>
    <row r="813">
      <c r="I813" s="55"/>
    </row>
    <row r="814">
      <c r="I814" s="55"/>
    </row>
    <row r="815">
      <c r="I815" s="55"/>
    </row>
    <row r="816">
      <c r="I816" s="55"/>
    </row>
    <row r="817">
      <c r="I817" s="55"/>
    </row>
    <row r="818">
      <c r="I818" s="55"/>
    </row>
    <row r="819">
      <c r="I819" s="55"/>
    </row>
    <row r="820">
      <c r="I820" s="55"/>
    </row>
    <row r="821">
      <c r="I821" s="55"/>
    </row>
    <row r="822">
      <c r="I822" s="55"/>
    </row>
    <row r="823">
      <c r="I823" s="55"/>
    </row>
    <row r="824">
      <c r="I824" s="55"/>
    </row>
    <row r="825">
      <c r="I825" s="55"/>
    </row>
    <row r="826">
      <c r="I826" s="55"/>
    </row>
    <row r="827">
      <c r="I827" s="55"/>
    </row>
    <row r="828">
      <c r="I828" s="55"/>
    </row>
    <row r="829">
      <c r="I829" s="55"/>
    </row>
    <row r="830">
      <c r="I830" s="55"/>
    </row>
    <row r="831">
      <c r="I831" s="55"/>
    </row>
    <row r="832">
      <c r="I832" s="55"/>
    </row>
    <row r="833">
      <c r="I833" s="55"/>
    </row>
    <row r="834">
      <c r="I834" s="55"/>
    </row>
    <row r="835">
      <c r="I835" s="55"/>
    </row>
    <row r="836">
      <c r="I836" s="55"/>
    </row>
    <row r="837">
      <c r="I837" s="55"/>
    </row>
    <row r="838">
      <c r="I838" s="55"/>
    </row>
    <row r="839">
      <c r="I839" s="55"/>
    </row>
    <row r="840">
      <c r="I840" s="55"/>
    </row>
    <row r="841">
      <c r="I841" s="55"/>
    </row>
    <row r="842">
      <c r="I842" s="55"/>
    </row>
    <row r="843">
      <c r="I843" s="55"/>
    </row>
    <row r="844">
      <c r="I844" s="55"/>
    </row>
    <row r="845">
      <c r="I845" s="55"/>
    </row>
    <row r="846">
      <c r="I846" s="55"/>
    </row>
    <row r="847">
      <c r="I847" s="55"/>
    </row>
    <row r="848">
      <c r="I848" s="55"/>
    </row>
    <row r="849">
      <c r="I849" s="55"/>
    </row>
    <row r="850">
      <c r="I850" s="55"/>
    </row>
    <row r="851">
      <c r="I851" s="55"/>
    </row>
    <row r="852">
      <c r="I852" s="55"/>
    </row>
    <row r="853">
      <c r="I853" s="55"/>
    </row>
    <row r="854">
      <c r="I854" s="55"/>
    </row>
    <row r="855">
      <c r="I855" s="55"/>
    </row>
    <row r="856">
      <c r="I856" s="55"/>
    </row>
    <row r="857">
      <c r="I857" s="55"/>
    </row>
    <row r="858">
      <c r="I858" s="55"/>
    </row>
    <row r="859">
      <c r="I859" s="55"/>
    </row>
    <row r="860">
      <c r="I860" s="55"/>
    </row>
    <row r="861">
      <c r="I861" s="55"/>
    </row>
    <row r="862">
      <c r="I862" s="55"/>
    </row>
    <row r="863">
      <c r="I863" s="55"/>
    </row>
    <row r="864">
      <c r="I864" s="55"/>
    </row>
    <row r="865">
      <c r="I865" s="55"/>
    </row>
    <row r="866">
      <c r="I866" s="55"/>
    </row>
    <row r="867">
      <c r="I867" s="55"/>
    </row>
    <row r="868">
      <c r="I868" s="55"/>
    </row>
    <row r="869">
      <c r="I869" s="55"/>
    </row>
    <row r="870">
      <c r="I870" s="55"/>
    </row>
    <row r="871">
      <c r="I871" s="55"/>
    </row>
    <row r="872">
      <c r="I872" s="55"/>
    </row>
    <row r="873">
      <c r="I873" s="55"/>
    </row>
    <row r="874">
      <c r="I874" s="55"/>
    </row>
    <row r="875">
      <c r="I875" s="55"/>
    </row>
    <row r="876">
      <c r="I876" s="55"/>
    </row>
    <row r="877">
      <c r="I877" s="55"/>
    </row>
    <row r="878">
      <c r="I878" s="55"/>
    </row>
    <row r="879">
      <c r="I879" s="55"/>
    </row>
    <row r="880">
      <c r="I880" s="55"/>
    </row>
    <row r="881">
      <c r="I881" s="55"/>
    </row>
    <row r="882">
      <c r="I882" s="55"/>
    </row>
    <row r="883">
      <c r="I883" s="55"/>
    </row>
    <row r="884">
      <c r="I884" s="55"/>
    </row>
    <row r="885">
      <c r="I885" s="55"/>
    </row>
    <row r="886">
      <c r="I886" s="55"/>
    </row>
    <row r="887">
      <c r="I887" s="55"/>
    </row>
    <row r="888">
      <c r="I888" s="55"/>
    </row>
    <row r="889">
      <c r="I889" s="55"/>
    </row>
    <row r="890">
      <c r="I890" s="55"/>
    </row>
    <row r="891">
      <c r="I891" s="55"/>
    </row>
    <row r="892">
      <c r="I892" s="55"/>
    </row>
    <row r="893">
      <c r="I893" s="55"/>
    </row>
    <row r="894">
      <c r="I894" s="55"/>
    </row>
    <row r="895">
      <c r="I895" s="55"/>
    </row>
    <row r="896">
      <c r="I896" s="55"/>
    </row>
    <row r="897">
      <c r="I897" s="55"/>
    </row>
    <row r="898">
      <c r="I898" s="55"/>
    </row>
    <row r="899">
      <c r="I899" s="55"/>
    </row>
    <row r="900">
      <c r="I900" s="55"/>
    </row>
    <row r="901">
      <c r="I901" s="55"/>
    </row>
    <row r="902">
      <c r="I902" s="55"/>
    </row>
    <row r="903">
      <c r="I903" s="55"/>
    </row>
    <row r="904">
      <c r="I904" s="55"/>
    </row>
    <row r="905">
      <c r="I905" s="55"/>
    </row>
    <row r="906">
      <c r="I906" s="55"/>
    </row>
    <row r="907">
      <c r="I907" s="55"/>
    </row>
    <row r="908">
      <c r="I908" s="55"/>
    </row>
    <row r="909">
      <c r="I909" s="55"/>
    </row>
    <row r="910">
      <c r="I910" s="55"/>
    </row>
    <row r="911">
      <c r="I911" s="55"/>
    </row>
    <row r="912">
      <c r="I912" s="55"/>
    </row>
    <row r="913">
      <c r="I913" s="55"/>
    </row>
    <row r="914">
      <c r="I914" s="55"/>
    </row>
    <row r="915">
      <c r="I915" s="55"/>
    </row>
    <row r="916">
      <c r="I916" s="55"/>
    </row>
    <row r="917">
      <c r="I917" s="55"/>
    </row>
    <row r="918">
      <c r="I918" s="55"/>
    </row>
    <row r="919">
      <c r="I919" s="55"/>
    </row>
    <row r="920">
      <c r="I920" s="55"/>
    </row>
    <row r="921">
      <c r="I921" s="55"/>
    </row>
    <row r="922">
      <c r="I922" s="55"/>
    </row>
    <row r="923">
      <c r="I923" s="55"/>
    </row>
    <row r="924">
      <c r="I924" s="55"/>
    </row>
    <row r="925">
      <c r="I925" s="55"/>
    </row>
    <row r="926">
      <c r="I926" s="55"/>
    </row>
    <row r="927">
      <c r="I927" s="55"/>
    </row>
    <row r="928">
      <c r="I928" s="55"/>
    </row>
    <row r="929">
      <c r="I929" s="55"/>
    </row>
    <row r="930">
      <c r="I930" s="55"/>
    </row>
    <row r="931">
      <c r="I931" s="55"/>
    </row>
    <row r="932">
      <c r="I932" s="55"/>
    </row>
    <row r="933">
      <c r="I933" s="55"/>
    </row>
    <row r="934">
      <c r="I934" s="55"/>
    </row>
    <row r="935">
      <c r="I935" s="55"/>
    </row>
    <row r="936">
      <c r="I936" s="55"/>
    </row>
    <row r="937">
      <c r="I937" s="55"/>
    </row>
    <row r="938">
      <c r="I938" s="55"/>
    </row>
    <row r="939">
      <c r="I939" s="55"/>
    </row>
    <row r="940">
      <c r="I940" s="55"/>
    </row>
    <row r="941">
      <c r="I941" s="55"/>
    </row>
    <row r="942">
      <c r="I942" s="55"/>
    </row>
    <row r="943">
      <c r="I943" s="55"/>
    </row>
    <row r="944">
      <c r="I944" s="55"/>
    </row>
    <row r="945">
      <c r="I945" s="55"/>
    </row>
    <row r="946">
      <c r="I946" s="55"/>
    </row>
    <row r="947">
      <c r="I947" s="55"/>
    </row>
    <row r="948">
      <c r="I948" s="55"/>
    </row>
    <row r="949">
      <c r="I949" s="55"/>
    </row>
    <row r="950">
      <c r="I950" s="55"/>
    </row>
    <row r="951">
      <c r="I951" s="55"/>
    </row>
    <row r="952">
      <c r="I952" s="55"/>
    </row>
    <row r="953">
      <c r="I953" s="55"/>
    </row>
    <row r="954">
      <c r="I954" s="55"/>
    </row>
    <row r="955">
      <c r="I955" s="55"/>
    </row>
    <row r="956">
      <c r="I956" s="55"/>
    </row>
    <row r="957">
      <c r="I957" s="55"/>
    </row>
    <row r="958">
      <c r="I958" s="55"/>
    </row>
    <row r="959">
      <c r="I959" s="55"/>
    </row>
    <row r="960">
      <c r="I960" s="55"/>
    </row>
    <row r="961">
      <c r="I961" s="55"/>
    </row>
    <row r="962">
      <c r="I962" s="55"/>
    </row>
    <row r="963">
      <c r="I963" s="55"/>
    </row>
    <row r="964">
      <c r="I964" s="55"/>
    </row>
    <row r="965">
      <c r="I965" s="55"/>
    </row>
    <row r="966">
      <c r="I966" s="55"/>
    </row>
    <row r="967">
      <c r="I967" s="55"/>
    </row>
    <row r="968">
      <c r="I968" s="55"/>
    </row>
    <row r="969">
      <c r="I969" s="55"/>
    </row>
    <row r="970">
      <c r="I970" s="55"/>
    </row>
    <row r="971">
      <c r="I971" s="55"/>
    </row>
    <row r="972">
      <c r="I972" s="55"/>
    </row>
    <row r="973">
      <c r="I973" s="55"/>
    </row>
    <row r="974">
      <c r="I974" s="55"/>
    </row>
    <row r="975">
      <c r="I975" s="55"/>
    </row>
    <row r="976">
      <c r="I976" s="55"/>
    </row>
    <row r="977">
      <c r="I977" s="55"/>
    </row>
    <row r="978">
      <c r="I978" s="55"/>
    </row>
    <row r="979">
      <c r="I979" s="55"/>
    </row>
    <row r="980">
      <c r="I980" s="55"/>
    </row>
    <row r="981">
      <c r="I981" s="55"/>
    </row>
    <row r="982">
      <c r="I982" s="55"/>
    </row>
    <row r="983">
      <c r="I983" s="55"/>
    </row>
    <row r="984">
      <c r="I984" s="55"/>
    </row>
    <row r="985">
      <c r="I985" s="55"/>
    </row>
    <row r="986">
      <c r="I986" s="55"/>
    </row>
    <row r="987">
      <c r="I987" s="55"/>
    </row>
    <row r="988">
      <c r="I988" s="55"/>
    </row>
    <row r="989">
      <c r="I989" s="55"/>
    </row>
    <row r="990">
      <c r="I990" s="55"/>
    </row>
    <row r="991">
      <c r="I991" s="55"/>
    </row>
    <row r="992">
      <c r="I992" s="55"/>
    </row>
    <row r="993">
      <c r="I993" s="55"/>
    </row>
    <row r="994">
      <c r="I994" s="55"/>
    </row>
    <row r="995">
      <c r="I995" s="55"/>
    </row>
    <row r="996">
      <c r="I996" s="55"/>
    </row>
    <row r="997">
      <c r="I997" s="55"/>
    </row>
    <row r="998">
      <c r="I998" s="55"/>
    </row>
    <row r="999">
      <c r="I999" s="55"/>
    </row>
    <row r="1000">
      <c r="I1000" s="55"/>
    </row>
  </sheetData>
  <mergeCells count="250">
    <mergeCell ref="Q38:R38"/>
    <mergeCell ref="S38:T38"/>
    <mergeCell ref="N35:O35"/>
    <mergeCell ref="N36:O36"/>
    <mergeCell ref="Q36:R36"/>
    <mergeCell ref="N37:O37"/>
    <mergeCell ref="Q37:R37"/>
    <mergeCell ref="S37:T37"/>
    <mergeCell ref="N38:O38"/>
    <mergeCell ref="O8:P8"/>
    <mergeCell ref="O9:P9"/>
    <mergeCell ref="O10:P10"/>
    <mergeCell ref="Q10:R10"/>
    <mergeCell ref="O11:P11"/>
    <mergeCell ref="Q11:R11"/>
    <mergeCell ref="Q12:R12"/>
    <mergeCell ref="O12:P12"/>
    <mergeCell ref="O13:P13"/>
    <mergeCell ref="O14:P14"/>
    <mergeCell ref="O16:P16"/>
    <mergeCell ref="Q16:R16"/>
    <mergeCell ref="O17:P17"/>
    <mergeCell ref="Q17:R17"/>
    <mergeCell ref="O18:P18"/>
    <mergeCell ref="Q18:R18"/>
    <mergeCell ref="O19:P19"/>
    <mergeCell ref="Q19:R19"/>
    <mergeCell ref="O20:P20"/>
    <mergeCell ref="Q20:R20"/>
    <mergeCell ref="Q21:R21"/>
    <mergeCell ref="O21:P21"/>
    <mergeCell ref="O22:P22"/>
    <mergeCell ref="O23:P23"/>
    <mergeCell ref="O24:P24"/>
    <mergeCell ref="O25:P25"/>
    <mergeCell ref="N26:O26"/>
    <mergeCell ref="N27:O27"/>
    <mergeCell ref="Q22:R22"/>
    <mergeCell ref="Q23:R23"/>
    <mergeCell ref="Q24:R24"/>
    <mergeCell ref="Q25:R25"/>
    <mergeCell ref="Q26:R26"/>
    <mergeCell ref="S26:T26"/>
    <mergeCell ref="S27:T27"/>
    <mergeCell ref="N28:O28"/>
    <mergeCell ref="N29:O29"/>
    <mergeCell ref="N30:O30"/>
    <mergeCell ref="N31:O31"/>
    <mergeCell ref="N32:O32"/>
    <mergeCell ref="N33:O33"/>
    <mergeCell ref="N34:O34"/>
    <mergeCell ref="N42:O42"/>
    <mergeCell ref="Q42:R42"/>
    <mergeCell ref="S42:T42"/>
    <mergeCell ref="J8:K8"/>
    <mergeCell ref="J9:K9"/>
    <mergeCell ref="J10:K10"/>
    <mergeCell ref="L10:M10"/>
    <mergeCell ref="J11:K11"/>
    <mergeCell ref="L11:M11"/>
    <mergeCell ref="L12:M12"/>
    <mergeCell ref="L13:M13"/>
    <mergeCell ref="J18:K18"/>
    <mergeCell ref="J19:K19"/>
    <mergeCell ref="J20:K20"/>
    <mergeCell ref="J21:K21"/>
    <mergeCell ref="J22:K22"/>
    <mergeCell ref="J23:K23"/>
    <mergeCell ref="J24:K24"/>
    <mergeCell ref="J25:K25"/>
    <mergeCell ref="J12:K12"/>
    <mergeCell ref="J13:K13"/>
    <mergeCell ref="J16:K16"/>
    <mergeCell ref="L16:M16"/>
    <mergeCell ref="J17:K17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I29:L29"/>
    <mergeCell ref="I30:J30"/>
    <mergeCell ref="K30:L30"/>
    <mergeCell ref="K31:L31"/>
    <mergeCell ref="I31:J31"/>
    <mergeCell ref="I32:J32"/>
    <mergeCell ref="K32:L32"/>
    <mergeCell ref="I33:J33"/>
    <mergeCell ref="K33:L33"/>
    <mergeCell ref="L34:M34"/>
    <mergeCell ref="L35:M35"/>
    <mergeCell ref="L43:M43"/>
    <mergeCell ref="L44:M44"/>
    <mergeCell ref="L36:M36"/>
    <mergeCell ref="L37:M37"/>
    <mergeCell ref="L38:M38"/>
    <mergeCell ref="L39:M39"/>
    <mergeCell ref="L40:M40"/>
    <mergeCell ref="L41:M41"/>
    <mergeCell ref="L42:M42"/>
    <mergeCell ref="F1:G1"/>
    <mergeCell ref="J1:K1"/>
    <mergeCell ref="L1:M1"/>
    <mergeCell ref="F2:G2"/>
    <mergeCell ref="J2:K2"/>
    <mergeCell ref="L2:M2"/>
    <mergeCell ref="F3:G3"/>
    <mergeCell ref="J3:K3"/>
    <mergeCell ref="L3:M3"/>
    <mergeCell ref="D6:E6"/>
    <mergeCell ref="J6:K6"/>
    <mergeCell ref="L6:M6"/>
    <mergeCell ref="O6:P6"/>
    <mergeCell ref="Q6:R6"/>
    <mergeCell ref="B6:C6"/>
    <mergeCell ref="B7:C7"/>
    <mergeCell ref="D7:E7"/>
    <mergeCell ref="J7:K7"/>
    <mergeCell ref="L7:M7"/>
    <mergeCell ref="O7:P7"/>
    <mergeCell ref="Q7:R7"/>
    <mergeCell ref="B8:C8"/>
    <mergeCell ref="D8:E8"/>
    <mergeCell ref="L8:M8"/>
    <mergeCell ref="Q8:R8"/>
    <mergeCell ref="D9:E9"/>
    <mergeCell ref="L9:M9"/>
    <mergeCell ref="Q9:R9"/>
    <mergeCell ref="B13:C13"/>
    <mergeCell ref="D13:E13"/>
    <mergeCell ref="B14:C14"/>
    <mergeCell ref="D14:E14"/>
    <mergeCell ref="J14:K14"/>
    <mergeCell ref="L14:M14"/>
    <mergeCell ref="Q13:R13"/>
    <mergeCell ref="Q14:R14"/>
    <mergeCell ref="B15:C15"/>
    <mergeCell ref="D15:E15"/>
    <mergeCell ref="J15:K15"/>
    <mergeCell ref="L15:M15"/>
    <mergeCell ref="O15:P15"/>
    <mergeCell ref="Q15:R15"/>
    <mergeCell ref="Q34:R34"/>
    <mergeCell ref="Q35:R35"/>
    <mergeCell ref="Q27:R27"/>
    <mergeCell ref="Q28:R28"/>
    <mergeCell ref="Q29:R29"/>
    <mergeCell ref="Q30:R30"/>
    <mergeCell ref="Q31:R31"/>
    <mergeCell ref="Q32:R32"/>
    <mergeCell ref="Q33:R33"/>
    <mergeCell ref="S35:T35"/>
    <mergeCell ref="S36:T36"/>
    <mergeCell ref="S28:T28"/>
    <mergeCell ref="S29:T29"/>
    <mergeCell ref="S30:T30"/>
    <mergeCell ref="S31:T31"/>
    <mergeCell ref="S32:T32"/>
    <mergeCell ref="S33:T33"/>
    <mergeCell ref="S34:T34"/>
    <mergeCell ref="D40:E40"/>
    <mergeCell ref="D41:E41"/>
    <mergeCell ref="D42:E42"/>
    <mergeCell ref="D43:E43"/>
    <mergeCell ref="D44:E44"/>
    <mergeCell ref="D33:E33"/>
    <mergeCell ref="D34:E34"/>
    <mergeCell ref="D35:E35"/>
    <mergeCell ref="D36:E36"/>
    <mergeCell ref="D37:E37"/>
    <mergeCell ref="D38:E38"/>
    <mergeCell ref="D39:E39"/>
    <mergeCell ref="B9:C9"/>
    <mergeCell ref="B10:C10"/>
    <mergeCell ref="D10:E10"/>
    <mergeCell ref="B11:C11"/>
    <mergeCell ref="D11:E11"/>
    <mergeCell ref="B12:C12"/>
    <mergeCell ref="D12:E12"/>
    <mergeCell ref="B19:C19"/>
    <mergeCell ref="B20:C20"/>
    <mergeCell ref="B21:C21"/>
    <mergeCell ref="B22:C22"/>
    <mergeCell ref="B23:C23"/>
    <mergeCell ref="B24:C24"/>
    <mergeCell ref="B25:C25"/>
    <mergeCell ref="B16:C16"/>
    <mergeCell ref="D16:E16"/>
    <mergeCell ref="B17:C17"/>
    <mergeCell ref="D17:E17"/>
    <mergeCell ref="B18:C18"/>
    <mergeCell ref="D18:E18"/>
    <mergeCell ref="D19:E19"/>
    <mergeCell ref="D20:E20"/>
    <mergeCell ref="D21:E21"/>
    <mergeCell ref="D22:E22"/>
    <mergeCell ref="D23:E23"/>
    <mergeCell ref="D24:E24"/>
    <mergeCell ref="D25:E25"/>
    <mergeCell ref="F26:G26"/>
    <mergeCell ref="D26:E26"/>
    <mergeCell ref="D27:E27"/>
    <mergeCell ref="D28:E28"/>
    <mergeCell ref="D29:E29"/>
    <mergeCell ref="D30:E30"/>
    <mergeCell ref="D31:E31"/>
    <mergeCell ref="D32:E32"/>
    <mergeCell ref="F27:G27"/>
    <mergeCell ref="F28:G28"/>
    <mergeCell ref="F29:G29"/>
    <mergeCell ref="F30:G30"/>
    <mergeCell ref="F31:G31"/>
    <mergeCell ref="F32:G32"/>
    <mergeCell ref="F33:G33"/>
    <mergeCell ref="F41:G41"/>
    <mergeCell ref="F42:G42"/>
    <mergeCell ref="F43:G43"/>
    <mergeCell ref="F44:G44"/>
    <mergeCell ref="F45:G45"/>
    <mergeCell ref="F58:G58"/>
    <mergeCell ref="F59:G59"/>
    <mergeCell ref="F34:G34"/>
    <mergeCell ref="F35:G35"/>
    <mergeCell ref="F36:G36"/>
    <mergeCell ref="F37:G37"/>
    <mergeCell ref="F38:G38"/>
    <mergeCell ref="F39:G39"/>
    <mergeCell ref="F40:G40"/>
    <mergeCell ref="Q41:R41"/>
    <mergeCell ref="S41:T41"/>
    <mergeCell ref="N43:O43"/>
    <mergeCell ref="Q43:R43"/>
    <mergeCell ref="S43:T43"/>
    <mergeCell ref="N44:O44"/>
    <mergeCell ref="Q44:R44"/>
    <mergeCell ref="S44:T44"/>
    <mergeCell ref="N39:O39"/>
    <mergeCell ref="Q39:R39"/>
    <mergeCell ref="S39:T39"/>
    <mergeCell ref="N40:O40"/>
    <mergeCell ref="Q40:R40"/>
    <mergeCell ref="S40:T40"/>
    <mergeCell ref="N41:O41"/>
  </mergeCells>
  <conditionalFormatting sqref="A6:R6">
    <cfRule type="notContainsBlanks" dxfId="0" priority="1">
      <formula>LEN(TRIM(A6))&gt;0</formula>
    </cfRule>
  </conditionalFormatting>
  <dataValidations>
    <dataValidation type="list" allowBlank="1" showErrorMessage="1" sqref="I7:I25">
      <formula1>"High,Medium,Low"</formula1>
    </dataValidation>
    <dataValidation type="list" allowBlank="1" showErrorMessage="1" sqref="N7:N25">
      <formula1>"Pass,Fail"</formula1>
    </dataValidation>
  </dataValidations>
  <hyperlinks>
    <hyperlink r:id="rId1" ref="Q11"/>
    <hyperlink r:id="rId2" ref="Q13"/>
    <hyperlink r:id="rId3" ref="Q18"/>
    <hyperlink r:id="rId4" ref="F19"/>
    <hyperlink r:id="rId5" ref="F22"/>
    <hyperlink r:id="rId6" ref="F23"/>
    <hyperlink r:id="rId7" ref="Q24"/>
  </hyperlinks>
  <drawing r:id="rId8"/>
</worksheet>
</file>