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ita\Downloads\"/>
    </mc:Choice>
  </mc:AlternateContent>
  <bookViews>
    <workbookView xWindow="0" yWindow="0" windowWidth="23040" windowHeight="9192"/>
  </bookViews>
  <sheets>
    <sheet name="Test Cases" sheetId="1" r:id="rId1"/>
    <sheet name="Check List" sheetId="2" r:id="rId2"/>
  </sheets>
  <calcPr calcId="162913"/>
</workbook>
</file>

<file path=xl/calcChain.xml><?xml version="1.0" encoding="utf-8"?>
<calcChain xmlns="http://schemas.openxmlformats.org/spreadsheetml/2006/main">
  <c r="G7" i="2" l="1"/>
  <c r="G6" i="2"/>
  <c r="G8" i="2" s="1"/>
  <c r="K5" i="1"/>
  <c r="K4" i="1"/>
  <c r="K3" i="1"/>
  <c r="K2" i="1"/>
  <c r="K6" i="1" s="1"/>
</calcChain>
</file>

<file path=xl/comments1.xml><?xml version="1.0" encoding="utf-8"?>
<comments xmlns="http://schemas.openxmlformats.org/spreadsheetml/2006/main">
  <authors>
    <author/>
  </authors>
  <commentList>
    <comment ref="V8" authorId="0" shapeId="0">
      <text>
        <r>
          <rPr>
            <sz val="10"/>
            <color rgb="FF000000"/>
            <rFont val="Arial"/>
            <scheme val="minor"/>
          </rPr>
          <t xml:space="preserve">Review from my site not your site 
</t>
        </r>
      </text>
    </comment>
    <comment ref="P12" authorId="0" shapeId="0">
      <text>
        <r>
          <rPr>
            <sz val="10"/>
            <color rgb="FF000000"/>
            <rFont val="Arial"/>
            <scheme val="minor"/>
          </rPr>
          <t>Comment korbe reviewer
	-Linia Hossain</t>
        </r>
      </text>
    </comment>
  </commentList>
</comments>
</file>

<file path=xl/sharedStrings.xml><?xml version="1.0" encoding="utf-8"?>
<sst xmlns="http://schemas.openxmlformats.org/spreadsheetml/2006/main" count="385" uniqueCount="230">
  <si>
    <t>Product Name</t>
  </si>
  <si>
    <t>OrangeHRM</t>
  </si>
  <si>
    <t>Test case start date</t>
  </si>
  <si>
    <t>14/10/2025</t>
  </si>
  <si>
    <t>Test Case Excution Start date</t>
  </si>
  <si>
    <t xml:space="preserve">Test case Summary </t>
  </si>
  <si>
    <t>Module Name</t>
  </si>
  <si>
    <t>Full Website</t>
  </si>
  <si>
    <t xml:space="preserve">Test case end Date </t>
  </si>
  <si>
    <t>15/10/2025</t>
  </si>
  <si>
    <t>Test case Excution Enddate</t>
  </si>
  <si>
    <t>PASS</t>
  </si>
  <si>
    <t>Developer Name</t>
  </si>
  <si>
    <t>Test case Developed By</t>
  </si>
  <si>
    <t>Pritam Saha Turja</t>
  </si>
  <si>
    <t>FAIL</t>
  </si>
  <si>
    <t xml:space="preserve">Test Executed By </t>
  </si>
  <si>
    <t xml:space="preserve">Test case Review by </t>
  </si>
  <si>
    <t>Linia E Jannat</t>
  </si>
  <si>
    <t>Warning</t>
  </si>
  <si>
    <t>Alert</t>
  </si>
  <si>
    <t xml:space="preserve">Total </t>
  </si>
  <si>
    <t>TestCase ID</t>
  </si>
  <si>
    <t>Title</t>
  </si>
  <si>
    <t>Precondition</t>
  </si>
  <si>
    <t>Steps</t>
  </si>
  <si>
    <t>Test Date</t>
  </si>
  <si>
    <t>Browser</t>
  </si>
  <si>
    <t>Expected Result</t>
  </si>
  <si>
    <t>Actual Result</t>
  </si>
  <si>
    <t>Status</t>
  </si>
  <si>
    <t>Comment</t>
  </si>
  <si>
    <t>Drive Link</t>
  </si>
  <si>
    <t>TCID 1</t>
  </si>
  <si>
    <t>Homepage Load Successfully</t>
  </si>
  <si>
    <t>Stable Internet connection</t>
  </si>
  <si>
    <t>1. Stable internet 
2. Open Homepage</t>
  </si>
  <si>
    <t>14/10/25</t>
  </si>
  <si>
    <t>Google Chrome</t>
  </si>
  <si>
    <t>All components showed well</t>
  </si>
  <si>
    <t>All components are well showed</t>
  </si>
  <si>
    <t>Pass</t>
  </si>
  <si>
    <t>TCID 2</t>
  </si>
  <si>
    <t>Main navigation menu items (Home, Solutions, Features, Resources)</t>
  </si>
  <si>
    <t>User on homepage</t>
  </si>
  <si>
    <t>1. Open Homepage
2. Check navigation menu items</t>
  </si>
  <si>
    <t>Correctly redirect</t>
  </si>
  <si>
    <t>Successfully Redirect</t>
  </si>
  <si>
    <t>TCID 3</t>
  </si>
  <si>
    <t>Broken Links</t>
  </si>
  <si>
    <t xml:space="preserve">
</t>
  </si>
  <si>
    <t>1. Open Inspect, Developer Tools
2. Check for broken links</t>
  </si>
  <si>
    <t>All links are good enough to redirect to another page</t>
  </si>
  <si>
    <t>As expected</t>
  </si>
  <si>
    <t>TCID 4</t>
  </si>
  <si>
    <t>Free demo request</t>
  </si>
  <si>
    <t>Email, full name, company name
work mail, country, job title</t>
  </si>
  <si>
    <t>1. Open Book a free demo option
2. Perform the operation with correct credentials</t>
  </si>
  <si>
    <t>iphone 14 pro max,Chrome</t>
  </si>
  <si>
    <t>Using correct email and password user can signup</t>
  </si>
  <si>
    <t>TCID 5</t>
  </si>
  <si>
    <t>Language Check</t>
  </si>
  <si>
    <t>Know about English, Spanish</t>
  </si>
  <si>
    <t>1. Select a language from the drop down menu</t>
  </si>
  <si>
    <t>Galaxy s22 ultra</t>
  </si>
  <si>
    <t>Full wepage will convert into different language</t>
  </si>
  <si>
    <t>Only some specific options are converted into Different language</t>
  </si>
  <si>
    <t>Screenshot_46.png</t>
  </si>
  <si>
    <t>TCID 6</t>
  </si>
  <si>
    <t xml:space="preserve">Form Submission </t>
  </si>
  <si>
    <t>1. Perform operation with correct credentials</t>
  </si>
  <si>
    <t>Google chrome</t>
  </si>
  <si>
    <t>Information will be submitted and a mail will be received in response</t>
  </si>
  <si>
    <t>Mail received</t>
  </si>
  <si>
    <t>TCID 7</t>
  </si>
  <si>
    <t>Search Functionality</t>
  </si>
  <si>
    <t>invalid data</t>
  </si>
  <si>
    <t>1. search with invalid keyword</t>
  </si>
  <si>
    <t>no results found" message will be displayed</t>
  </si>
  <si>
    <t>no results found" message is displayed</t>
  </si>
  <si>
    <t>Fail</t>
  </si>
  <si>
    <t>Search Result.png</t>
  </si>
  <si>
    <t>TCID 8</t>
  </si>
  <si>
    <t>Footer Links</t>
  </si>
  <si>
    <t>click on icon</t>
  </si>
  <si>
    <t>1. click on footer icon or link
2. Automatically redirect to Another linked page</t>
  </si>
  <si>
    <t>15/10/25</t>
  </si>
  <si>
    <t>Redirected to another page</t>
  </si>
  <si>
    <t>TCID 9</t>
  </si>
  <si>
    <t>Invlalid email signup</t>
  </si>
  <si>
    <t>name : pritam
email: pritam@gmail@115@115.com</t>
  </si>
  <si>
    <t>1. Open demo request 
2. insert invalid email format</t>
  </si>
  <si>
    <t>Demo Request shoulld not be Received</t>
  </si>
  <si>
    <t>Demo Request Has Been Received</t>
  </si>
  <si>
    <t>TCID 10</t>
  </si>
  <si>
    <t>Document Download</t>
  </si>
  <si>
    <t>1. valid signup
2. Download from Mail</t>
  </si>
  <si>
    <t>Document download from mail</t>
  </si>
  <si>
    <t>Document download successfull</t>
  </si>
  <si>
    <t>TCID 11</t>
  </si>
  <si>
    <t>Mobile Responsiveness</t>
  </si>
  <si>
    <t>iphone 12 pro, samsung s20 ultra, samsung z fold screen test</t>
  </si>
  <si>
    <t>1. Open inspect 
2.Try different mobile screen</t>
  </si>
  <si>
    <t xml:space="preserve">iphone 12 pro, samsung s20 ultra, samsung z fold screen </t>
  </si>
  <si>
    <t>Responsive through different mobile screen</t>
  </si>
  <si>
    <t>Responsiveness is well across all mobile device screen</t>
  </si>
  <si>
    <t>TCID 12</t>
  </si>
  <si>
    <t>Image rendering</t>
  </si>
  <si>
    <t>1. Go to https://www.orangehrm.com/#
2. Check the images available on the site</t>
  </si>
  <si>
    <t>All images on the site load correctly,well sized and are not stretched</t>
  </si>
  <si>
    <t>All images are good enough but some images are small in sizes ,can increased the image size upto 100%</t>
  </si>
  <si>
    <t>imaze size.png</t>
  </si>
  <si>
    <t>TCID 13</t>
  </si>
  <si>
    <t>Readability</t>
  </si>
  <si>
    <r>
      <rPr>
        <sz val="10"/>
        <color rgb="FF000000"/>
        <rFont val="Arial"/>
      </rPr>
      <t xml:space="preserve">1. Go to </t>
    </r>
    <r>
      <rPr>
        <u/>
        <sz val="10"/>
        <color rgb="FF1155CC"/>
        <rFont val="Arial"/>
      </rPr>
      <t>https://www.orangehrm.com/#</t>
    </r>
    <r>
      <rPr>
        <sz val="10"/>
        <color rgb="FF000000"/>
        <rFont val="Arial"/>
      </rPr>
      <t xml:space="preserve">
2. Check the texts on the site</t>
    </r>
  </si>
  <si>
    <t>All texts should have sufficient contrast against the background for readability</t>
  </si>
  <si>
    <t>All text have good enough contrast against the background</t>
  </si>
  <si>
    <t>TCID 14</t>
  </si>
  <si>
    <t>Page Load Speed</t>
  </si>
  <si>
    <t xml:space="preserve">1. Go to https://www.orangehrm.com/#
2. open powerhouse and perform a analysis </t>
  </si>
  <si>
    <t>Page load speed under 3sec</t>
  </si>
  <si>
    <t>2.8 Sec</t>
  </si>
  <si>
    <t>TCID 15</t>
  </si>
  <si>
    <t>Lighthouse Audit</t>
  </si>
  <si>
    <t>1. Go to https://www.orangehrm.com/#
2. open powerhouse and perform a analysis for lighhouse</t>
  </si>
  <si>
    <t>performance
accessibility
SEO all over 90%</t>
  </si>
  <si>
    <t>performance 50%
accessibility 74%
SEO all over 79%</t>
  </si>
  <si>
    <t>TCID 16</t>
  </si>
  <si>
    <t>HTTP/2  Support</t>
  </si>
  <si>
    <t>Http 2 pro Supported</t>
  </si>
  <si>
    <r>
      <t xml:space="preserve">1. Go to </t>
    </r>
    <r>
      <rPr>
        <u/>
        <sz val="10"/>
        <color rgb="FF1155CC"/>
        <rFont val="Arial"/>
      </rPr>
      <t xml:space="preserve">https://tools.keycdn.com/http2-test
</t>
    </r>
    <r>
      <rPr>
        <sz val="10"/>
        <color rgb="FF000000"/>
        <rFont val="Arial"/>
        <scheme val="minor"/>
      </rPr>
      <t>2. Paste the website link and check the result</t>
    </r>
  </si>
  <si>
    <t>HTTP/2 , ALPN Should be supported</t>
  </si>
  <si>
    <t>HTTP/2 , ALPN supported</t>
  </si>
  <si>
    <t>TCID 17</t>
  </si>
  <si>
    <t>Linked pages</t>
  </si>
  <si>
    <r>
      <t xml:space="preserve">1. Go to </t>
    </r>
    <r>
      <rPr>
        <u/>
        <sz val="10"/>
        <color rgb="FF1155CC"/>
        <rFont val="Arial"/>
      </rPr>
      <t xml:space="preserve">https://tools.keycdn.com/http2-test
</t>
    </r>
    <r>
      <rPr>
        <sz val="10"/>
        <color rgb="FF000000"/>
        <rFont val="Arial"/>
        <scheme val="minor"/>
      </rPr>
      <t>2. Check some linked page redirection</t>
    </r>
  </si>
  <si>
    <t>Linked pages should be opened</t>
  </si>
  <si>
    <t>Linked pages are opened</t>
  </si>
  <si>
    <t>TCID 18</t>
  </si>
  <si>
    <t>Input validation</t>
  </si>
  <si>
    <t>1. Open demo request from the wesite
2. Put letters as phone number</t>
  </si>
  <si>
    <t>Only numerical values are allowed</t>
  </si>
  <si>
    <t>Both text and numerical value can be used</t>
  </si>
  <si>
    <t>Input type error.png</t>
  </si>
  <si>
    <t>TCID 19</t>
  </si>
  <si>
    <t>Blog items load</t>
  </si>
  <si>
    <t>Go to Resources then Blog
Click a blog article</t>
  </si>
  <si>
    <t>20/10/2025</t>
  </si>
  <si>
    <t>Article loads with full content</t>
  </si>
  <si>
    <t>Articel loaded successfully</t>
  </si>
  <si>
    <t>TCID 20</t>
  </si>
  <si>
    <t>Text wrapping</t>
  </si>
  <si>
    <t>1. Go to resources then click blog
2. Check the text on 1st blog article</t>
  </si>
  <si>
    <t>20/10/2026</t>
  </si>
  <si>
    <t>All text will be well alligned</t>
  </si>
  <si>
    <t>Text wrapping is not good enough</t>
  </si>
  <si>
    <t>Text wrapping error.png</t>
  </si>
  <si>
    <t>TCID 21</t>
  </si>
  <si>
    <t>TCID 22</t>
  </si>
  <si>
    <t>TCID 23</t>
  </si>
  <si>
    <t>TCID 24</t>
  </si>
  <si>
    <t>TCID 25</t>
  </si>
  <si>
    <t>TCID 26</t>
  </si>
  <si>
    <t>TCID 27</t>
  </si>
  <si>
    <t>TCID 28</t>
  </si>
  <si>
    <t>TCID 29</t>
  </si>
  <si>
    <t>TCID 30</t>
  </si>
  <si>
    <t>TCID 31</t>
  </si>
  <si>
    <t>TCID 32</t>
  </si>
  <si>
    <t>TCID 33</t>
  </si>
  <si>
    <t>TCID 34</t>
  </si>
  <si>
    <t>TCID 35</t>
  </si>
  <si>
    <t>TCID 36</t>
  </si>
  <si>
    <t>TCID 37</t>
  </si>
  <si>
    <t>TCID 38</t>
  </si>
  <si>
    <t>TCID 39</t>
  </si>
  <si>
    <t>TCID 40</t>
  </si>
  <si>
    <t>Project Name</t>
  </si>
  <si>
    <t xml:space="preserve">Check List Author: </t>
  </si>
  <si>
    <t>Version</t>
  </si>
  <si>
    <t>Date</t>
  </si>
  <si>
    <t xml:space="preserve">Check List Summary </t>
  </si>
  <si>
    <t>Failed</t>
  </si>
  <si>
    <t>Total</t>
  </si>
  <si>
    <t>Check ID</t>
  </si>
  <si>
    <t>Scenario</t>
  </si>
  <si>
    <t>Priority</t>
  </si>
  <si>
    <t>Test Data</t>
  </si>
  <si>
    <t>Remarks</t>
  </si>
  <si>
    <t>C01</t>
  </si>
  <si>
    <t>Check Homepage Load Successfully or not</t>
  </si>
  <si>
    <t>High</t>
  </si>
  <si>
    <t>Passed</t>
  </si>
  <si>
    <t>No issues</t>
  </si>
  <si>
    <t>C02</t>
  </si>
  <si>
    <t>Medium</t>
  </si>
  <si>
    <t>C03</t>
  </si>
  <si>
    <t>Check Broken Links</t>
  </si>
  <si>
    <t>C04</t>
  </si>
  <si>
    <t>Check a Free demo request</t>
  </si>
  <si>
    <t>C05</t>
  </si>
  <si>
    <t>Check Language availability Check</t>
  </si>
  <si>
    <t>Full webpage is not converted into spanish</t>
  </si>
  <si>
    <t>C06</t>
  </si>
  <si>
    <t xml:space="preserve">Check Form Submission </t>
  </si>
  <si>
    <t>C07</t>
  </si>
  <si>
    <t>Check Search Functionality</t>
  </si>
  <si>
    <t>Low</t>
  </si>
  <si>
    <t>SEO is not good enough</t>
  </si>
  <si>
    <t>C08</t>
  </si>
  <si>
    <t>Check the Footer Links</t>
  </si>
  <si>
    <t>C09</t>
  </si>
  <si>
    <t>C10</t>
  </si>
  <si>
    <t xml:space="preserve">Check Document Download </t>
  </si>
  <si>
    <t>C11</t>
  </si>
  <si>
    <t>check Mobile Responsiveness</t>
  </si>
  <si>
    <t>C12</t>
  </si>
  <si>
    <t>check Image rendering</t>
  </si>
  <si>
    <t>Image size should be iincreased</t>
  </si>
  <si>
    <t>C13</t>
  </si>
  <si>
    <t>check text Readability</t>
  </si>
  <si>
    <t>C14</t>
  </si>
  <si>
    <t>Check Page Load Speed</t>
  </si>
  <si>
    <t>C15</t>
  </si>
  <si>
    <t>overall performance is 50% ,
Should be avobe 80%</t>
  </si>
  <si>
    <t>C16</t>
  </si>
  <si>
    <t>C17</t>
  </si>
  <si>
    <t>C18</t>
  </si>
  <si>
    <t>check Input validation</t>
  </si>
  <si>
    <t>Change the phone number input type from text 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</si>
</sst>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16" x14ac:knownFonts="1">
    <font>
      <sz val="10"/>
      <color rgb="FF000000"/>
      <name val="Arial"/>
      <scheme val="minor"/>
    </font>
    <font>
      <b/>
      <sz val="12"/>
      <color theme="1"/>
      <name val="Arial"/>
      <scheme val="minor"/>
    </font>
    <font>
      <sz val="12"/>
      <color theme="1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Times New Roman"/>
    </font>
    <font>
      <b/>
      <sz val="12"/>
      <color rgb="FF000000"/>
      <name val="Times New Roman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Times New Roman"/>
    </font>
    <font>
      <u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b/>
      <sz val="10"/>
      <color theme="1"/>
      <name val="Arial"/>
    </font>
    <font>
      <sz val="10"/>
      <color theme="1"/>
      <name val="Arial"/>
    </font>
    <font>
      <u/>
      <sz val="10"/>
      <color rgb="FF1155CC"/>
      <name val="Arial"/>
    </font>
  </fonts>
  <fills count="16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7"/>
        <bgColor theme="7"/>
      </patternFill>
    </fill>
    <fill>
      <patternFill patternType="solid">
        <fgColor rgb="FFFFE599"/>
        <bgColor rgb="FFFFE599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8" borderId="1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0" fillId="0" borderId="1" xfId="0" applyFont="1" applyBorder="1" applyAlignment="1"/>
    <xf numFmtId="0" fontId="8" fillId="8" borderId="1" xfId="0" applyFont="1" applyFill="1" applyBorder="1" applyAlignment="1">
      <alignment horizontal="center" wrapText="1"/>
    </xf>
    <xf numFmtId="0" fontId="7" fillId="9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/>
    <xf numFmtId="0" fontId="1" fillId="0" borderId="1" xfId="0" applyFont="1" applyBorder="1" applyAlignment="1"/>
    <xf numFmtId="0" fontId="1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0" borderId="1" xfId="0" applyFont="1" applyBorder="1" applyAlignment="1"/>
    <xf numFmtId="0" fontId="3" fillId="0" borderId="2" xfId="0" applyFont="1" applyBorder="1" applyAlignment="1">
      <alignment horizontal="center"/>
    </xf>
    <xf numFmtId="0" fontId="0" fillId="0" borderId="3" xfId="0" applyFont="1" applyBorder="1" applyAlignment="1"/>
    <xf numFmtId="0" fontId="6" fillId="3" borderId="4" xfId="0" applyFont="1" applyFill="1" applyBorder="1" applyAlignment="1"/>
    <xf numFmtId="0" fontId="6" fillId="3" borderId="5" xfId="0" applyFont="1" applyFill="1" applyBorder="1"/>
    <xf numFmtId="0" fontId="6" fillId="4" borderId="4" xfId="0" applyFont="1" applyFill="1" applyBorder="1" applyAlignment="1"/>
    <xf numFmtId="0" fontId="6" fillId="4" borderId="5" xfId="0" applyFont="1" applyFill="1" applyBorder="1"/>
    <xf numFmtId="0" fontId="6" fillId="5" borderId="4" xfId="0" applyFont="1" applyFill="1" applyBorder="1" applyAlignment="1"/>
    <xf numFmtId="0" fontId="6" fillId="5" borderId="5" xfId="0" applyFont="1" applyFill="1" applyBorder="1"/>
    <xf numFmtId="0" fontId="6" fillId="6" borderId="4" xfId="0" applyFont="1" applyFill="1" applyBorder="1" applyAlignment="1"/>
    <xf numFmtId="0" fontId="6" fillId="6" borderId="5" xfId="0" applyFont="1" applyFill="1" applyBorder="1"/>
    <xf numFmtId="0" fontId="6" fillId="7" borderId="6" xfId="0" applyFont="1" applyFill="1" applyBorder="1" applyAlignment="1"/>
    <xf numFmtId="0" fontId="6" fillId="7" borderId="7" xfId="0" applyFont="1" applyFill="1" applyBorder="1"/>
    <xf numFmtId="0" fontId="13" fillId="8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12" borderId="1" xfId="0" applyFont="1" applyFill="1" applyBorder="1" applyAlignment="1"/>
    <xf numFmtId="0" fontId="7" fillId="12" borderId="1" xfId="0" applyFont="1" applyFill="1" applyBorder="1"/>
    <xf numFmtId="0" fontId="7" fillId="4" borderId="1" xfId="0" applyFont="1" applyFill="1" applyBorder="1" applyAlignment="1"/>
    <xf numFmtId="0" fontId="7" fillId="4" borderId="1" xfId="0" applyFont="1" applyFill="1" applyBorder="1"/>
    <xf numFmtId="0" fontId="7" fillId="13" borderId="1" xfId="0" applyFont="1" applyFill="1" applyBorder="1" applyAlignment="1"/>
    <xf numFmtId="0" fontId="7" fillId="13" borderId="1" xfId="0" applyFont="1" applyFill="1" applyBorder="1"/>
    <xf numFmtId="0" fontId="13" fillId="8" borderId="1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 wrapText="1"/>
    </xf>
    <xf numFmtId="0" fontId="14" fillId="15" borderId="1" xfId="0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center" vertical="center" wrapText="1"/>
    </xf>
    <xf numFmtId="164" fontId="14" fillId="1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vs. Test case Summary 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383517060367455"/>
          <c:y val="0.1096136567834681"/>
          <c:w val="0.73997042869641294"/>
          <c:h val="0.7279003332130653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5BE-4122-ABFF-5FD2FEAF023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5BE-4122-ABFF-5FD2FEAF023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25BE-4122-ABFF-5FD2FEAF023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5BE-4122-ABFF-5FD2FEAF0239}"/>
              </c:ext>
            </c:extLst>
          </c:dPt>
          <c:cat>
            <c:strRef>
              <c:f>'Test Cases'!$J$2:$J$6</c:f>
              <c:strCache>
                <c:ptCount val="5"/>
                <c:pt idx="0">
                  <c:v>PASS</c:v>
                </c:pt>
                <c:pt idx="1">
                  <c:v>FAIL</c:v>
                </c:pt>
                <c:pt idx="2">
                  <c:v>Warning</c:v>
                </c:pt>
                <c:pt idx="3">
                  <c:v>Alert</c:v>
                </c:pt>
                <c:pt idx="4">
                  <c:v>Total </c:v>
                </c:pt>
              </c:strCache>
            </c:strRef>
          </c:cat>
          <c:val>
            <c:numRef>
              <c:f>'Test Cases'!$K$2:$K$6</c:f>
              <c:numCache>
                <c:formatCode>General</c:formatCode>
                <c:ptCount val="5"/>
                <c:pt idx="0">
                  <c:v>14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BE-4122-ABFF-5FD2FEAF0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902033"/>
        <c:axId val="2061624011"/>
      </c:barChart>
      <c:catAx>
        <c:axId val="1449020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Test case Summary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61624011"/>
        <c:crosses val="autoZero"/>
        <c:auto val="1"/>
        <c:lblAlgn val="ctr"/>
        <c:lblOffset val="100"/>
        <c:noMultiLvlLbl val="1"/>
      </c:catAx>
      <c:valAx>
        <c:axId val="20616240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902033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 vs. Check List Summary 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FDD76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0EDF-4B15-945F-0E89119C8551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EDF-4B15-945F-0E89119C8551}"/>
              </c:ext>
            </c:extLst>
          </c:dPt>
          <c:cat>
            <c:strRef>
              <c:f>'Check List'!$F$6:$F$8</c:f>
              <c:strCache>
                <c:ptCount val="3"/>
                <c:pt idx="0">
                  <c:v>Pass</c:v>
                </c:pt>
                <c:pt idx="1">
                  <c:v>Failed</c:v>
                </c:pt>
                <c:pt idx="2">
                  <c:v>Total</c:v>
                </c:pt>
              </c:strCache>
            </c:strRef>
          </c:cat>
          <c:val>
            <c:numRef>
              <c:f>'Check List'!$G$6:$G$8</c:f>
              <c:numCache>
                <c:formatCode>General</c:formatCode>
                <c:ptCount val="3"/>
                <c:pt idx="0">
                  <c:v>12</c:v>
                </c:pt>
                <c:pt idx="1">
                  <c:v>4</c:v>
                </c:pt>
                <c:pt idx="2">
                  <c:v>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EDF-4B15-945F-0E89119C8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492819"/>
        <c:axId val="1399153110"/>
      </c:barChart>
      <c:catAx>
        <c:axId val="184492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Check List Summary 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99153110"/>
        <c:crosses val="autoZero"/>
        <c:auto val="1"/>
        <c:lblAlgn val="ctr"/>
        <c:lblOffset val="100"/>
        <c:noMultiLvlLbl val="1"/>
      </c:catAx>
      <c:valAx>
        <c:axId val="13991531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4492819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981075</xdr:colOff>
      <xdr:row>53</xdr:row>
      <xdr:rowOff>76200</xdr:rowOff>
    </xdr:from>
    <xdr:ext cx="5715000" cy="353377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457200</xdr:colOff>
      <xdr:row>36</xdr:row>
      <xdr:rowOff>47625</xdr:rowOff>
    </xdr:from>
    <xdr:ext cx="4581525" cy="2838450"/>
    <xdr:graphicFrame macro=""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bxuZXL08XkbJHSlQvNx0q28cCo0DbO5W/view?usp=drive_link" TargetMode="External"/><Relationship Id="rId3" Type="http://schemas.openxmlformats.org/officeDocument/2006/relationships/hyperlink" Target="https://drive.google.com/file/d/1uDgu9tH7voZJiPAzwPlZ_JYxYERCRKbZ/view?usp=drive_link" TargetMode="External"/><Relationship Id="rId7" Type="http://schemas.openxmlformats.org/officeDocument/2006/relationships/hyperlink" Target="https://drive.google.com/file/d/1LXC0tN8M3GQCo1NZpaJF9LBTyMco2xF8/view?usp=drive_lin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drive.google.com/file/d/1wVN6POtEPP6ztx6FGEw4LIwhz4GQ8in8/view?usp=drive_link" TargetMode="External"/><Relationship Id="rId1" Type="http://schemas.openxmlformats.org/officeDocument/2006/relationships/hyperlink" Target="https://drive.google.com/file/d/1zBE_IqLjLzi_9s3wJX2wTAGWP1rQEkTO/view?usp=sharing" TargetMode="External"/><Relationship Id="rId6" Type="http://schemas.openxmlformats.org/officeDocument/2006/relationships/hyperlink" Target="https://tools.keycdn.com/http2-test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tools.keycdn.com/http2-test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orangehrm.com/" TargetMode="Externa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C93"/>
  <sheetViews>
    <sheetView tabSelected="1" workbookViewId="0">
      <pane ySplit="11" topLeftCell="A12" activePane="bottomLeft" state="frozen"/>
      <selection pane="bottomLeft" activeCell="E9" sqref="E9"/>
    </sheetView>
  </sheetViews>
  <sheetFormatPr defaultColWidth="12.6640625" defaultRowHeight="15.75" customHeight="1" x14ac:dyDescent="0.25"/>
  <cols>
    <col min="1" max="1" width="23.33203125" customWidth="1"/>
    <col min="2" max="2" width="18" customWidth="1"/>
    <col min="3" max="3" width="6.109375" customWidth="1"/>
    <col min="4" max="4" width="27.109375" customWidth="1"/>
    <col min="6" max="6" width="3.6640625" customWidth="1"/>
    <col min="7" max="7" width="31.88671875" customWidth="1"/>
    <col min="8" max="8" width="16.6640625" customWidth="1"/>
    <col min="9" max="9" width="11.77734375" customWidth="1"/>
  </cols>
  <sheetData>
    <row r="1" spans="1:29" ht="17.399999999999999" x14ac:dyDescent="0.3">
      <c r="A1" s="28" t="s">
        <v>0</v>
      </c>
      <c r="B1" s="28" t="s">
        <v>1</v>
      </c>
      <c r="C1" s="29"/>
      <c r="D1" s="28" t="s">
        <v>2</v>
      </c>
      <c r="E1" s="28" t="s">
        <v>3</v>
      </c>
      <c r="F1" s="29"/>
      <c r="G1" s="28" t="s">
        <v>4</v>
      </c>
      <c r="H1" s="28" t="s">
        <v>3</v>
      </c>
      <c r="I1" s="1"/>
      <c r="J1" s="35" t="s">
        <v>5</v>
      </c>
      <c r="K1" s="36"/>
      <c r="Q1" s="9"/>
      <c r="R1" s="7"/>
      <c r="S1" s="10"/>
      <c r="T1" s="7"/>
    </row>
    <row r="2" spans="1:29" ht="15.6" x14ac:dyDescent="0.3">
      <c r="A2" s="28" t="s">
        <v>6</v>
      </c>
      <c r="B2" s="28" t="s">
        <v>7</v>
      </c>
      <c r="C2" s="29"/>
      <c r="D2" s="28" t="s">
        <v>8</v>
      </c>
      <c r="E2" s="28" t="s">
        <v>9</v>
      </c>
      <c r="F2" s="29"/>
      <c r="G2" s="28" t="s">
        <v>10</v>
      </c>
      <c r="H2" s="28" t="s">
        <v>9</v>
      </c>
      <c r="I2" s="1"/>
      <c r="J2" s="37" t="s">
        <v>11</v>
      </c>
      <c r="K2" s="38">
        <f>COUNTIF(O12:O38,"Pass")</f>
        <v>14</v>
      </c>
      <c r="L2" s="9"/>
      <c r="M2" s="7"/>
      <c r="Q2" s="9"/>
      <c r="R2" s="7"/>
      <c r="S2" s="10"/>
      <c r="T2" s="7"/>
    </row>
    <row r="3" spans="1:29" ht="31.2" x14ac:dyDescent="0.3">
      <c r="A3" s="28" t="s">
        <v>12</v>
      </c>
      <c r="B3" s="30"/>
      <c r="C3" s="31"/>
      <c r="D3" s="28" t="s">
        <v>13</v>
      </c>
      <c r="E3" s="32" t="s">
        <v>14</v>
      </c>
      <c r="F3" s="33"/>
      <c r="G3" s="30"/>
      <c r="H3" s="30"/>
      <c r="I3" s="1"/>
      <c r="J3" s="39" t="s">
        <v>15</v>
      </c>
      <c r="K3" s="40">
        <f>COUNTIF(O12:O38,"Fail")</f>
        <v>1</v>
      </c>
      <c r="Q3" s="9"/>
      <c r="R3" s="7"/>
      <c r="S3" s="10"/>
      <c r="T3" s="7"/>
    </row>
    <row r="4" spans="1:29" ht="31.2" x14ac:dyDescent="0.3">
      <c r="A4" s="28" t="s">
        <v>16</v>
      </c>
      <c r="B4" s="32" t="s">
        <v>14</v>
      </c>
      <c r="C4" s="33"/>
      <c r="D4" s="28" t="s">
        <v>17</v>
      </c>
      <c r="E4" s="32" t="s">
        <v>18</v>
      </c>
      <c r="F4" s="33"/>
      <c r="G4" s="30"/>
      <c r="H4" s="30"/>
      <c r="I4" s="1"/>
      <c r="J4" s="41" t="s">
        <v>19</v>
      </c>
      <c r="K4" s="42">
        <f>COUNTIF(O12:O38,"Warning")</f>
        <v>2</v>
      </c>
      <c r="Q4" s="9"/>
      <c r="R4" s="7"/>
      <c r="S4" s="10"/>
      <c r="T4" s="7"/>
    </row>
    <row r="5" spans="1:29" ht="15.6" x14ac:dyDescent="0.3">
      <c r="A5" s="30"/>
      <c r="B5" s="30"/>
      <c r="C5" s="31"/>
      <c r="D5" s="30"/>
      <c r="E5" s="30"/>
      <c r="F5" s="31"/>
      <c r="G5" s="30"/>
      <c r="H5" s="30"/>
      <c r="I5" s="1"/>
      <c r="J5" s="43" t="s">
        <v>20</v>
      </c>
      <c r="K5" s="44">
        <f>COUNTIF(O12:O38,"Alert")</f>
        <v>3</v>
      </c>
      <c r="Q5" s="9"/>
      <c r="R5" s="7"/>
      <c r="S5" s="10"/>
      <c r="T5" s="7"/>
    </row>
    <row r="6" spans="1:29" ht="15.6" x14ac:dyDescent="0.25">
      <c r="A6" s="34"/>
      <c r="B6" s="34"/>
      <c r="C6" s="34"/>
      <c r="D6" s="34"/>
      <c r="E6" s="34"/>
      <c r="F6" s="34"/>
      <c r="G6" s="34"/>
      <c r="H6" s="34"/>
      <c r="J6" s="45" t="s">
        <v>21</v>
      </c>
      <c r="K6" s="46">
        <f>SUM(K2,K3,K4,K5)</f>
        <v>20</v>
      </c>
      <c r="N6" s="10"/>
      <c r="O6" s="7"/>
      <c r="Q6" s="11"/>
      <c r="R6" s="7"/>
      <c r="S6" s="2"/>
      <c r="T6" s="11"/>
      <c r="U6" s="7"/>
      <c r="V6" s="11"/>
      <c r="W6" s="7"/>
    </row>
    <row r="7" spans="1:29" ht="15.6" x14ac:dyDescent="0.25">
      <c r="A7" s="34"/>
      <c r="B7" s="34"/>
      <c r="C7" s="34"/>
      <c r="D7" s="34"/>
      <c r="E7" s="34"/>
      <c r="F7" s="34"/>
      <c r="G7" s="34"/>
      <c r="H7" s="34"/>
      <c r="Q7" s="11"/>
      <c r="R7" s="7"/>
      <c r="S7" s="2"/>
      <c r="T7" s="11"/>
      <c r="U7" s="7"/>
      <c r="V7" s="11"/>
      <c r="W7" s="7"/>
    </row>
    <row r="8" spans="1:29" x14ac:dyDescent="0.25">
      <c r="J8" s="3"/>
      <c r="Q8" s="11"/>
      <c r="R8" s="7"/>
      <c r="S8" s="2"/>
      <c r="T8" s="11"/>
      <c r="U8" s="7"/>
      <c r="V8" s="11"/>
      <c r="W8" s="7"/>
    </row>
    <row r="11" spans="1:29" ht="15.6" x14ac:dyDescent="0.3">
      <c r="A11" s="13" t="s">
        <v>22</v>
      </c>
      <c r="B11" s="14" t="s">
        <v>23</v>
      </c>
      <c r="C11" s="15"/>
      <c r="D11" s="15"/>
      <c r="E11" s="14" t="s">
        <v>24</v>
      </c>
      <c r="F11" s="15"/>
      <c r="G11" s="15"/>
      <c r="H11" s="13" t="s">
        <v>25</v>
      </c>
      <c r="I11" s="13" t="s">
        <v>26</v>
      </c>
      <c r="J11" s="13" t="s">
        <v>27</v>
      </c>
      <c r="K11" s="14" t="s">
        <v>28</v>
      </c>
      <c r="L11" s="15"/>
      <c r="M11" s="14" t="s">
        <v>29</v>
      </c>
      <c r="N11" s="15"/>
      <c r="O11" s="13" t="s">
        <v>30</v>
      </c>
      <c r="P11" s="14" t="s">
        <v>31</v>
      </c>
      <c r="Q11" s="15"/>
      <c r="R11" s="16" t="s">
        <v>32</v>
      </c>
      <c r="S11" s="15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13.2" x14ac:dyDescent="0.25">
      <c r="A12" s="17" t="s">
        <v>33</v>
      </c>
      <c r="B12" s="18" t="s">
        <v>34</v>
      </c>
      <c r="C12" s="15"/>
      <c r="D12" s="15"/>
      <c r="E12" s="18" t="s">
        <v>35</v>
      </c>
      <c r="F12" s="15"/>
      <c r="G12" s="15"/>
      <c r="H12" s="17" t="s">
        <v>36</v>
      </c>
      <c r="I12" s="17" t="s">
        <v>37</v>
      </c>
      <c r="J12" s="17" t="s">
        <v>38</v>
      </c>
      <c r="K12" s="18" t="s">
        <v>39</v>
      </c>
      <c r="L12" s="15"/>
      <c r="M12" s="18" t="s">
        <v>40</v>
      </c>
      <c r="N12" s="15"/>
      <c r="O12" s="17" t="s">
        <v>41</v>
      </c>
      <c r="P12" s="19"/>
      <c r="Q12" s="15"/>
      <c r="R12" s="20"/>
      <c r="S12" s="15"/>
    </row>
    <row r="13" spans="1:29" ht="66" x14ac:dyDescent="0.25">
      <c r="A13" s="17" t="s">
        <v>42</v>
      </c>
      <c r="B13" s="21" t="s">
        <v>43</v>
      </c>
      <c r="C13" s="15"/>
      <c r="D13" s="15"/>
      <c r="E13" s="18" t="s">
        <v>44</v>
      </c>
      <c r="F13" s="15"/>
      <c r="G13" s="15"/>
      <c r="H13" s="22" t="s">
        <v>45</v>
      </c>
      <c r="I13" s="17" t="s">
        <v>37</v>
      </c>
      <c r="J13" s="17" t="s">
        <v>38</v>
      </c>
      <c r="K13" s="18" t="s">
        <v>46</v>
      </c>
      <c r="L13" s="15"/>
      <c r="M13" s="18" t="s">
        <v>47</v>
      </c>
      <c r="N13" s="15"/>
      <c r="O13" s="17" t="s">
        <v>41</v>
      </c>
      <c r="P13" s="19"/>
      <c r="Q13" s="15"/>
      <c r="R13" s="20"/>
      <c r="S13" s="15"/>
    </row>
    <row r="14" spans="1:29" ht="52.8" x14ac:dyDescent="0.25">
      <c r="A14" s="17" t="s">
        <v>48</v>
      </c>
      <c r="B14" s="18" t="s">
        <v>49</v>
      </c>
      <c r="C14" s="15"/>
      <c r="D14" s="15"/>
      <c r="E14" s="18" t="s">
        <v>50</v>
      </c>
      <c r="F14" s="15"/>
      <c r="G14" s="15"/>
      <c r="H14" s="23" t="s">
        <v>51</v>
      </c>
      <c r="I14" s="17" t="s">
        <v>37</v>
      </c>
      <c r="J14" s="17" t="s">
        <v>38</v>
      </c>
      <c r="K14" s="21" t="s">
        <v>52</v>
      </c>
      <c r="L14" s="15"/>
      <c r="M14" s="18" t="s">
        <v>53</v>
      </c>
      <c r="N14" s="15"/>
      <c r="O14" s="17" t="s">
        <v>41</v>
      </c>
      <c r="P14" s="19"/>
      <c r="Q14" s="15"/>
      <c r="R14" s="20"/>
      <c r="S14" s="15"/>
    </row>
    <row r="15" spans="1:29" ht="66" x14ac:dyDescent="0.25">
      <c r="A15" s="17" t="s">
        <v>54</v>
      </c>
      <c r="B15" s="18" t="s">
        <v>55</v>
      </c>
      <c r="C15" s="15"/>
      <c r="D15" s="15"/>
      <c r="E15" s="21" t="s">
        <v>56</v>
      </c>
      <c r="F15" s="15"/>
      <c r="G15" s="15"/>
      <c r="H15" s="23" t="s">
        <v>57</v>
      </c>
      <c r="I15" s="17" t="s">
        <v>37</v>
      </c>
      <c r="J15" s="22" t="s">
        <v>58</v>
      </c>
      <c r="K15" s="21" t="s">
        <v>59</v>
      </c>
      <c r="L15" s="15"/>
      <c r="M15" s="18" t="s">
        <v>53</v>
      </c>
      <c r="N15" s="15"/>
      <c r="O15" s="17" t="s">
        <v>41</v>
      </c>
      <c r="P15" s="19"/>
      <c r="Q15" s="15"/>
      <c r="R15" s="20"/>
      <c r="S15" s="15"/>
    </row>
    <row r="16" spans="1:29" ht="39.6" x14ac:dyDescent="0.25">
      <c r="A16" s="17" t="s">
        <v>60</v>
      </c>
      <c r="B16" s="18" t="s">
        <v>61</v>
      </c>
      <c r="C16" s="15"/>
      <c r="D16" s="15"/>
      <c r="E16" s="18" t="s">
        <v>62</v>
      </c>
      <c r="F16" s="15"/>
      <c r="G16" s="15"/>
      <c r="H16" s="23" t="s">
        <v>63</v>
      </c>
      <c r="I16" s="17" t="s">
        <v>37</v>
      </c>
      <c r="J16" s="17" t="s">
        <v>64</v>
      </c>
      <c r="K16" s="21" t="s">
        <v>65</v>
      </c>
      <c r="L16" s="15"/>
      <c r="M16" s="21" t="s">
        <v>66</v>
      </c>
      <c r="N16" s="15"/>
      <c r="O16" s="17" t="s">
        <v>19</v>
      </c>
      <c r="P16" s="19"/>
      <c r="Q16" s="15"/>
      <c r="R16" s="24" t="s">
        <v>67</v>
      </c>
      <c r="S16" s="15"/>
    </row>
    <row r="17" spans="1:21" ht="39.6" x14ac:dyDescent="0.25">
      <c r="A17" s="17" t="s">
        <v>68</v>
      </c>
      <c r="B17" s="18" t="s">
        <v>69</v>
      </c>
      <c r="C17" s="15"/>
      <c r="D17" s="15"/>
      <c r="E17" s="18" t="s">
        <v>56</v>
      </c>
      <c r="F17" s="15"/>
      <c r="G17" s="15"/>
      <c r="H17" s="23" t="s">
        <v>70</v>
      </c>
      <c r="I17" s="17" t="s">
        <v>37</v>
      </c>
      <c r="J17" s="17" t="s">
        <v>71</v>
      </c>
      <c r="K17" s="21" t="s">
        <v>72</v>
      </c>
      <c r="L17" s="15"/>
      <c r="M17" s="18" t="s">
        <v>73</v>
      </c>
      <c r="N17" s="15"/>
      <c r="O17" s="17" t="s">
        <v>41</v>
      </c>
      <c r="P17" s="19"/>
      <c r="Q17" s="15"/>
      <c r="R17" s="20"/>
      <c r="S17" s="15"/>
    </row>
    <row r="18" spans="1:21" ht="26.4" x14ac:dyDescent="0.25">
      <c r="A18" s="17" t="s">
        <v>74</v>
      </c>
      <c r="B18" s="18" t="s">
        <v>75</v>
      </c>
      <c r="C18" s="15"/>
      <c r="D18" s="15"/>
      <c r="E18" s="18" t="s">
        <v>76</v>
      </c>
      <c r="F18" s="15"/>
      <c r="G18" s="15"/>
      <c r="H18" s="23" t="s">
        <v>77</v>
      </c>
      <c r="I18" s="17" t="s">
        <v>37</v>
      </c>
      <c r="J18" s="17" t="s">
        <v>71</v>
      </c>
      <c r="K18" s="21" t="s">
        <v>78</v>
      </c>
      <c r="L18" s="15"/>
      <c r="M18" s="18" t="s">
        <v>79</v>
      </c>
      <c r="N18" s="15"/>
      <c r="O18" s="17" t="s">
        <v>80</v>
      </c>
      <c r="P18" s="19"/>
      <c r="Q18" s="15"/>
      <c r="R18" s="24" t="s">
        <v>81</v>
      </c>
      <c r="S18" s="15"/>
    </row>
    <row r="19" spans="1:21" ht="66" x14ac:dyDescent="0.25">
      <c r="A19" s="17" t="s">
        <v>82</v>
      </c>
      <c r="B19" s="18" t="s">
        <v>83</v>
      </c>
      <c r="C19" s="15"/>
      <c r="D19" s="15"/>
      <c r="E19" s="18" t="s">
        <v>84</v>
      </c>
      <c r="F19" s="15"/>
      <c r="G19" s="15"/>
      <c r="H19" s="23" t="s">
        <v>85</v>
      </c>
      <c r="I19" s="17" t="s">
        <v>86</v>
      </c>
      <c r="J19" s="17" t="s">
        <v>71</v>
      </c>
      <c r="K19" s="18" t="s">
        <v>87</v>
      </c>
      <c r="L19" s="15"/>
      <c r="M19" s="18" t="s">
        <v>53</v>
      </c>
      <c r="N19" s="15"/>
      <c r="O19" s="17" t="s">
        <v>41</v>
      </c>
      <c r="P19" s="19"/>
      <c r="Q19" s="15"/>
      <c r="R19" s="20"/>
      <c r="S19" s="15"/>
    </row>
    <row r="20" spans="1:21" ht="52.8" x14ac:dyDescent="0.25">
      <c r="A20" s="17" t="s">
        <v>88</v>
      </c>
      <c r="B20" s="18" t="s">
        <v>89</v>
      </c>
      <c r="C20" s="15"/>
      <c r="D20" s="15"/>
      <c r="E20" s="18" t="s">
        <v>90</v>
      </c>
      <c r="F20" s="15"/>
      <c r="G20" s="15"/>
      <c r="H20" s="23" t="s">
        <v>91</v>
      </c>
      <c r="I20" s="17" t="s">
        <v>86</v>
      </c>
      <c r="J20" s="17" t="s">
        <v>71</v>
      </c>
      <c r="K20" s="21" t="s">
        <v>92</v>
      </c>
      <c r="L20" s="15"/>
      <c r="M20" s="21" t="s">
        <v>93</v>
      </c>
      <c r="N20" s="15"/>
      <c r="O20" s="17" t="s">
        <v>41</v>
      </c>
      <c r="P20" s="19"/>
      <c r="Q20" s="15"/>
      <c r="R20" s="20"/>
      <c r="S20" s="15"/>
    </row>
    <row r="21" spans="1:21" ht="39.6" x14ac:dyDescent="0.25">
      <c r="A21" s="17" t="s">
        <v>94</v>
      </c>
      <c r="B21" s="18" t="s">
        <v>95</v>
      </c>
      <c r="C21" s="15"/>
      <c r="D21" s="15"/>
      <c r="E21" s="18" t="s">
        <v>56</v>
      </c>
      <c r="F21" s="15"/>
      <c r="G21" s="15"/>
      <c r="H21" s="23" t="s">
        <v>96</v>
      </c>
      <c r="I21" s="17" t="s">
        <v>86</v>
      </c>
      <c r="J21" s="17" t="s">
        <v>71</v>
      </c>
      <c r="K21" s="18" t="s">
        <v>97</v>
      </c>
      <c r="L21" s="15"/>
      <c r="M21" s="18" t="s">
        <v>98</v>
      </c>
      <c r="N21" s="15"/>
      <c r="O21" s="17" t="s">
        <v>41</v>
      </c>
      <c r="P21" s="19"/>
      <c r="Q21" s="15"/>
      <c r="R21" s="20"/>
      <c r="S21" s="15"/>
    </row>
    <row r="22" spans="1:21" ht="66" x14ac:dyDescent="0.25">
      <c r="A22" s="17" t="s">
        <v>99</v>
      </c>
      <c r="B22" s="18" t="s">
        <v>100</v>
      </c>
      <c r="C22" s="15"/>
      <c r="D22" s="15"/>
      <c r="E22" s="21" t="s">
        <v>101</v>
      </c>
      <c r="F22" s="15"/>
      <c r="G22" s="15"/>
      <c r="H22" s="23" t="s">
        <v>102</v>
      </c>
      <c r="I22" s="17" t="s">
        <v>86</v>
      </c>
      <c r="J22" s="22" t="s">
        <v>103</v>
      </c>
      <c r="K22" s="21" t="s">
        <v>104</v>
      </c>
      <c r="L22" s="15"/>
      <c r="M22" s="21" t="s">
        <v>105</v>
      </c>
      <c r="N22" s="15"/>
      <c r="O22" s="17" t="s">
        <v>41</v>
      </c>
      <c r="P22" s="19"/>
      <c r="Q22" s="15"/>
      <c r="R22" s="20"/>
      <c r="S22" s="15"/>
    </row>
    <row r="23" spans="1:21" ht="79.2" x14ac:dyDescent="0.25">
      <c r="A23" s="17" t="s">
        <v>106</v>
      </c>
      <c r="B23" s="18" t="s">
        <v>107</v>
      </c>
      <c r="C23" s="15"/>
      <c r="D23" s="15"/>
      <c r="E23" s="18" t="s">
        <v>35</v>
      </c>
      <c r="F23" s="15"/>
      <c r="G23" s="15"/>
      <c r="H23" s="25" t="s">
        <v>108</v>
      </c>
      <c r="I23" s="17" t="s">
        <v>86</v>
      </c>
      <c r="J23" s="17" t="s">
        <v>71</v>
      </c>
      <c r="K23" s="21" t="s">
        <v>109</v>
      </c>
      <c r="L23" s="15"/>
      <c r="M23" s="21" t="s">
        <v>110</v>
      </c>
      <c r="N23" s="15"/>
      <c r="O23" s="17" t="s">
        <v>19</v>
      </c>
      <c r="P23" s="19"/>
      <c r="Q23" s="15"/>
      <c r="R23" s="24" t="s">
        <v>111</v>
      </c>
      <c r="S23" s="15"/>
    </row>
    <row r="24" spans="1:21" ht="66" x14ac:dyDescent="0.25">
      <c r="A24" s="17" t="s">
        <v>112</v>
      </c>
      <c r="B24" s="18" t="s">
        <v>113</v>
      </c>
      <c r="C24" s="15"/>
      <c r="D24" s="15"/>
      <c r="E24" s="18" t="s">
        <v>35</v>
      </c>
      <c r="F24" s="15"/>
      <c r="G24" s="15"/>
      <c r="H24" s="26" t="s">
        <v>114</v>
      </c>
      <c r="I24" s="17" t="s">
        <v>86</v>
      </c>
      <c r="J24" s="17" t="s">
        <v>71</v>
      </c>
      <c r="K24" s="21" t="s">
        <v>115</v>
      </c>
      <c r="L24" s="15"/>
      <c r="M24" s="21" t="s">
        <v>116</v>
      </c>
      <c r="N24" s="15"/>
      <c r="O24" s="17" t="s">
        <v>41</v>
      </c>
      <c r="P24" s="19"/>
      <c r="Q24" s="15"/>
      <c r="R24" s="20"/>
      <c r="S24" s="15"/>
    </row>
    <row r="25" spans="1:21" ht="79.2" x14ac:dyDescent="0.25">
      <c r="A25" s="17" t="s">
        <v>117</v>
      </c>
      <c r="B25" s="18" t="s">
        <v>118</v>
      </c>
      <c r="C25" s="15"/>
      <c r="D25" s="15"/>
      <c r="E25" s="18" t="s">
        <v>35</v>
      </c>
      <c r="F25" s="15"/>
      <c r="G25" s="15"/>
      <c r="H25" s="23" t="s">
        <v>119</v>
      </c>
      <c r="I25" s="17" t="s">
        <v>86</v>
      </c>
      <c r="J25" s="17" t="s">
        <v>71</v>
      </c>
      <c r="K25" s="18" t="s">
        <v>120</v>
      </c>
      <c r="L25" s="15"/>
      <c r="M25" s="18" t="s">
        <v>121</v>
      </c>
      <c r="N25" s="15"/>
      <c r="O25" s="17" t="s">
        <v>41</v>
      </c>
      <c r="P25" s="19"/>
      <c r="Q25" s="15"/>
      <c r="R25" s="20"/>
      <c r="S25" s="15"/>
    </row>
    <row r="26" spans="1:21" ht="92.4" x14ac:dyDescent="0.25">
      <c r="A26" s="17" t="s">
        <v>122</v>
      </c>
      <c r="B26" s="18" t="s">
        <v>123</v>
      </c>
      <c r="C26" s="15"/>
      <c r="D26" s="15"/>
      <c r="E26" s="18" t="s">
        <v>35</v>
      </c>
      <c r="F26" s="15"/>
      <c r="G26" s="15"/>
      <c r="H26" s="23" t="s">
        <v>124</v>
      </c>
      <c r="I26" s="17" t="s">
        <v>86</v>
      </c>
      <c r="J26" s="17" t="s">
        <v>71</v>
      </c>
      <c r="K26" s="18" t="s">
        <v>125</v>
      </c>
      <c r="L26" s="15"/>
      <c r="M26" s="18" t="s">
        <v>126</v>
      </c>
      <c r="N26" s="15"/>
      <c r="O26" s="17" t="s">
        <v>20</v>
      </c>
      <c r="P26" s="19"/>
      <c r="Q26" s="15"/>
      <c r="R26" s="20"/>
      <c r="S26" s="15"/>
    </row>
    <row r="27" spans="1:21" ht="79.2" x14ac:dyDescent="0.25">
      <c r="A27" s="17" t="s">
        <v>127</v>
      </c>
      <c r="B27" s="18" t="s">
        <v>128</v>
      </c>
      <c r="C27" s="15"/>
      <c r="D27" s="15"/>
      <c r="E27" s="18" t="s">
        <v>129</v>
      </c>
      <c r="F27" s="15"/>
      <c r="G27" s="15"/>
      <c r="H27" s="27" t="s">
        <v>130</v>
      </c>
      <c r="I27" s="17" t="s">
        <v>86</v>
      </c>
      <c r="J27" s="17" t="s">
        <v>71</v>
      </c>
      <c r="K27" s="21" t="s">
        <v>131</v>
      </c>
      <c r="L27" s="15"/>
      <c r="M27" s="18" t="s">
        <v>132</v>
      </c>
      <c r="N27" s="15"/>
      <c r="O27" s="17" t="s">
        <v>41</v>
      </c>
      <c r="P27" s="19"/>
      <c r="Q27" s="15"/>
      <c r="R27" s="20"/>
      <c r="S27" s="15"/>
    </row>
    <row r="28" spans="1:21" ht="79.2" x14ac:dyDescent="0.25">
      <c r="A28" s="17" t="s">
        <v>133</v>
      </c>
      <c r="B28" s="18" t="s">
        <v>134</v>
      </c>
      <c r="C28" s="15"/>
      <c r="D28" s="15"/>
      <c r="E28" s="18" t="s">
        <v>35</v>
      </c>
      <c r="F28" s="15"/>
      <c r="G28" s="15"/>
      <c r="H28" s="27" t="s">
        <v>135</v>
      </c>
      <c r="I28" s="17" t="s">
        <v>86</v>
      </c>
      <c r="J28" s="17" t="s">
        <v>71</v>
      </c>
      <c r="K28" s="18" t="s">
        <v>136</v>
      </c>
      <c r="L28" s="15"/>
      <c r="M28" s="18" t="s">
        <v>137</v>
      </c>
      <c r="N28" s="15"/>
      <c r="O28" s="17" t="s">
        <v>41</v>
      </c>
      <c r="P28" s="19"/>
      <c r="Q28" s="15"/>
      <c r="R28" s="20"/>
      <c r="S28" s="15"/>
    </row>
    <row r="29" spans="1:21" ht="66" x14ac:dyDescent="0.25">
      <c r="A29" s="17" t="s">
        <v>138</v>
      </c>
      <c r="B29" s="18" t="s">
        <v>139</v>
      </c>
      <c r="C29" s="15"/>
      <c r="D29" s="15"/>
      <c r="E29" s="18" t="s">
        <v>35</v>
      </c>
      <c r="F29" s="15"/>
      <c r="G29" s="15"/>
      <c r="H29" s="23" t="s">
        <v>140</v>
      </c>
      <c r="I29" s="17" t="s">
        <v>86</v>
      </c>
      <c r="J29" s="17" t="s">
        <v>71</v>
      </c>
      <c r="K29" s="21" t="s">
        <v>141</v>
      </c>
      <c r="L29" s="15"/>
      <c r="M29" s="21" t="s">
        <v>142</v>
      </c>
      <c r="N29" s="15"/>
      <c r="O29" s="17" t="s">
        <v>20</v>
      </c>
      <c r="P29" s="19"/>
      <c r="Q29" s="15"/>
      <c r="R29" s="24" t="s">
        <v>143</v>
      </c>
      <c r="S29" s="15"/>
    </row>
    <row r="30" spans="1:21" ht="39.6" x14ac:dyDescent="0.25">
      <c r="A30" s="17" t="s">
        <v>144</v>
      </c>
      <c r="B30" s="18" t="s">
        <v>145</v>
      </c>
      <c r="C30" s="15"/>
      <c r="D30" s="15"/>
      <c r="E30" s="18" t="s">
        <v>35</v>
      </c>
      <c r="F30" s="15"/>
      <c r="G30" s="15"/>
      <c r="H30" s="23" t="s">
        <v>146</v>
      </c>
      <c r="I30" s="17" t="s">
        <v>147</v>
      </c>
      <c r="J30" s="17" t="s">
        <v>71</v>
      </c>
      <c r="K30" s="21" t="s">
        <v>148</v>
      </c>
      <c r="L30" s="15"/>
      <c r="M30" s="21" t="s">
        <v>149</v>
      </c>
      <c r="N30" s="15"/>
      <c r="O30" s="17" t="s">
        <v>41</v>
      </c>
      <c r="P30" s="19"/>
      <c r="Q30" s="15"/>
      <c r="R30" s="20"/>
      <c r="S30" s="15"/>
      <c r="T30" s="12"/>
      <c r="U30" s="7"/>
    </row>
    <row r="31" spans="1:21" ht="52.8" x14ac:dyDescent="0.25">
      <c r="A31" s="17" t="s">
        <v>150</v>
      </c>
      <c r="B31" s="18" t="s">
        <v>151</v>
      </c>
      <c r="C31" s="15"/>
      <c r="D31" s="15"/>
      <c r="E31" s="18" t="s">
        <v>35</v>
      </c>
      <c r="F31" s="15"/>
      <c r="G31" s="15"/>
      <c r="H31" s="23" t="s">
        <v>152</v>
      </c>
      <c r="I31" s="17" t="s">
        <v>153</v>
      </c>
      <c r="J31" s="17" t="s">
        <v>71</v>
      </c>
      <c r="K31" s="21" t="s">
        <v>154</v>
      </c>
      <c r="L31" s="15"/>
      <c r="M31" s="21" t="s">
        <v>155</v>
      </c>
      <c r="N31" s="15"/>
      <c r="O31" s="17" t="s">
        <v>20</v>
      </c>
      <c r="P31" s="19"/>
      <c r="Q31" s="15"/>
      <c r="R31" s="24" t="s">
        <v>156</v>
      </c>
      <c r="S31" s="15"/>
      <c r="T31" s="12"/>
      <c r="U31" s="7"/>
    </row>
    <row r="32" spans="1:21" ht="13.2" x14ac:dyDescent="0.25">
      <c r="A32" s="17" t="s">
        <v>157</v>
      </c>
      <c r="B32" s="18"/>
      <c r="C32" s="15"/>
      <c r="D32" s="15"/>
      <c r="E32" s="18"/>
      <c r="F32" s="15"/>
      <c r="G32" s="15"/>
      <c r="H32" s="23"/>
      <c r="I32" s="17"/>
      <c r="J32" s="17"/>
      <c r="K32" s="21"/>
      <c r="L32" s="15"/>
      <c r="M32" s="21"/>
      <c r="N32" s="15"/>
      <c r="O32" s="17"/>
      <c r="P32" s="19"/>
      <c r="Q32" s="15"/>
      <c r="R32" s="20"/>
      <c r="S32" s="15"/>
      <c r="T32" s="12"/>
      <c r="U32" s="7"/>
    </row>
    <row r="33" spans="1:21" ht="13.2" x14ac:dyDescent="0.25">
      <c r="A33" s="17" t="s">
        <v>158</v>
      </c>
      <c r="B33" s="18"/>
      <c r="C33" s="15"/>
      <c r="D33" s="15"/>
      <c r="E33" s="18"/>
      <c r="F33" s="15"/>
      <c r="G33" s="15"/>
      <c r="H33" s="23"/>
      <c r="I33" s="17"/>
      <c r="J33" s="17"/>
      <c r="K33" s="21"/>
      <c r="L33" s="15"/>
      <c r="M33" s="21"/>
      <c r="N33" s="15"/>
      <c r="O33" s="17"/>
      <c r="P33" s="19"/>
      <c r="Q33" s="15"/>
      <c r="R33" s="20"/>
      <c r="S33" s="15"/>
      <c r="T33" s="12"/>
      <c r="U33" s="7"/>
    </row>
    <row r="34" spans="1:21" ht="13.2" x14ac:dyDescent="0.25">
      <c r="A34" s="17" t="s">
        <v>159</v>
      </c>
      <c r="B34" s="18"/>
      <c r="C34" s="15"/>
      <c r="D34" s="15"/>
      <c r="E34" s="18"/>
      <c r="F34" s="15"/>
      <c r="G34" s="15"/>
      <c r="H34" s="23"/>
      <c r="I34" s="17"/>
      <c r="J34" s="17"/>
      <c r="K34" s="21"/>
      <c r="L34" s="15"/>
      <c r="M34" s="21"/>
      <c r="N34" s="15"/>
      <c r="O34" s="17"/>
      <c r="P34" s="19"/>
      <c r="Q34" s="15"/>
      <c r="R34" s="20"/>
      <c r="S34" s="15"/>
      <c r="T34" s="12"/>
      <c r="U34" s="7"/>
    </row>
    <row r="35" spans="1:21" ht="13.2" x14ac:dyDescent="0.25">
      <c r="A35" s="17" t="s">
        <v>160</v>
      </c>
      <c r="B35" s="18"/>
      <c r="C35" s="15"/>
      <c r="D35" s="15"/>
      <c r="E35" s="18"/>
      <c r="F35" s="15"/>
      <c r="G35" s="15"/>
      <c r="H35" s="23"/>
      <c r="I35" s="17"/>
      <c r="J35" s="17"/>
      <c r="K35" s="21"/>
      <c r="L35" s="15"/>
      <c r="M35" s="21"/>
      <c r="N35" s="15"/>
      <c r="O35" s="17"/>
      <c r="P35" s="19"/>
      <c r="Q35" s="15"/>
      <c r="R35" s="20"/>
      <c r="S35" s="15"/>
      <c r="T35" s="12"/>
      <c r="U35" s="7"/>
    </row>
    <row r="36" spans="1:21" ht="13.2" x14ac:dyDescent="0.25">
      <c r="A36" s="17" t="s">
        <v>161</v>
      </c>
      <c r="B36" s="18"/>
      <c r="C36" s="15"/>
      <c r="D36" s="15"/>
      <c r="E36" s="18"/>
      <c r="F36" s="15"/>
      <c r="G36" s="15"/>
      <c r="H36" s="23"/>
      <c r="I36" s="17"/>
      <c r="J36" s="17"/>
      <c r="K36" s="21"/>
      <c r="L36" s="15"/>
      <c r="M36" s="21"/>
      <c r="N36" s="15"/>
      <c r="O36" s="17"/>
      <c r="P36" s="19"/>
      <c r="Q36" s="15"/>
      <c r="R36" s="20"/>
      <c r="S36" s="15"/>
      <c r="T36" s="12"/>
      <c r="U36" s="7"/>
    </row>
    <row r="37" spans="1:21" ht="13.2" x14ac:dyDescent="0.25">
      <c r="A37" s="17" t="s">
        <v>162</v>
      </c>
      <c r="B37" s="18"/>
      <c r="C37" s="15"/>
      <c r="D37" s="15"/>
      <c r="E37" s="18"/>
      <c r="F37" s="15"/>
      <c r="G37" s="15"/>
      <c r="H37" s="23"/>
      <c r="I37" s="17"/>
      <c r="J37" s="17"/>
      <c r="K37" s="21"/>
      <c r="L37" s="15"/>
      <c r="M37" s="21"/>
      <c r="N37" s="15"/>
      <c r="O37" s="17"/>
      <c r="P37" s="19"/>
      <c r="Q37" s="15"/>
      <c r="R37" s="20"/>
      <c r="S37" s="15"/>
      <c r="T37" s="12"/>
      <c r="U37" s="7"/>
    </row>
    <row r="38" spans="1:21" ht="13.2" x14ac:dyDescent="0.25">
      <c r="A38" s="17" t="s">
        <v>163</v>
      </c>
      <c r="B38" s="18"/>
      <c r="C38" s="15"/>
      <c r="D38" s="15"/>
      <c r="E38" s="18"/>
      <c r="F38" s="15"/>
      <c r="G38" s="15"/>
      <c r="H38" s="23"/>
      <c r="I38" s="17"/>
      <c r="J38" s="17"/>
      <c r="K38" s="21"/>
      <c r="L38" s="15"/>
      <c r="M38" s="21"/>
      <c r="N38" s="15"/>
      <c r="O38" s="17"/>
      <c r="P38" s="19"/>
      <c r="Q38" s="15"/>
      <c r="R38" s="20"/>
      <c r="S38" s="15"/>
      <c r="T38" s="12"/>
      <c r="U38" s="7"/>
    </row>
    <row r="39" spans="1:21" ht="13.2" x14ac:dyDescent="0.25">
      <c r="A39" s="17" t="s">
        <v>164</v>
      </c>
      <c r="B39" s="18"/>
      <c r="C39" s="15"/>
      <c r="D39" s="15"/>
      <c r="E39" s="18"/>
      <c r="F39" s="15"/>
      <c r="G39" s="15"/>
      <c r="H39" s="23"/>
      <c r="I39" s="17"/>
      <c r="J39" s="17"/>
      <c r="K39" s="21"/>
      <c r="L39" s="15"/>
      <c r="M39" s="21"/>
      <c r="N39" s="15"/>
      <c r="O39" s="17"/>
      <c r="P39" s="19"/>
      <c r="Q39" s="15"/>
      <c r="R39" s="20"/>
      <c r="S39" s="15"/>
      <c r="T39" s="12"/>
      <c r="U39" s="7"/>
    </row>
    <row r="40" spans="1:21" ht="13.2" x14ac:dyDescent="0.25">
      <c r="A40" s="17" t="s">
        <v>165</v>
      </c>
      <c r="B40" s="18"/>
      <c r="C40" s="15"/>
      <c r="D40" s="15"/>
      <c r="E40" s="18"/>
      <c r="F40" s="15"/>
      <c r="G40" s="15"/>
      <c r="H40" s="23"/>
      <c r="I40" s="17"/>
      <c r="J40" s="17"/>
      <c r="K40" s="21"/>
      <c r="L40" s="15"/>
      <c r="M40" s="21"/>
      <c r="N40" s="15"/>
      <c r="O40" s="17"/>
      <c r="P40" s="19"/>
      <c r="Q40" s="15"/>
      <c r="R40" s="20"/>
      <c r="S40" s="15"/>
      <c r="T40" s="12"/>
      <c r="U40" s="7"/>
    </row>
    <row r="41" spans="1:21" ht="13.2" x14ac:dyDescent="0.25">
      <c r="A41" s="17" t="s">
        <v>166</v>
      </c>
      <c r="B41" s="18"/>
      <c r="C41" s="15"/>
      <c r="D41" s="15"/>
      <c r="E41" s="18"/>
      <c r="F41" s="15"/>
      <c r="G41" s="15"/>
      <c r="H41" s="23"/>
      <c r="I41" s="17"/>
      <c r="J41" s="17"/>
      <c r="K41" s="21"/>
      <c r="L41" s="15"/>
      <c r="M41" s="21"/>
      <c r="N41" s="15"/>
      <c r="O41" s="17"/>
      <c r="P41" s="19"/>
      <c r="Q41" s="15"/>
      <c r="R41" s="20"/>
      <c r="S41" s="15"/>
      <c r="T41" s="12"/>
      <c r="U41" s="7"/>
    </row>
    <row r="42" spans="1:21" ht="13.2" x14ac:dyDescent="0.25">
      <c r="A42" s="17" t="s">
        <v>167</v>
      </c>
      <c r="B42" s="18"/>
      <c r="C42" s="15"/>
      <c r="D42" s="15"/>
      <c r="E42" s="18"/>
      <c r="F42" s="15"/>
      <c r="G42" s="15"/>
      <c r="H42" s="23"/>
      <c r="I42" s="17"/>
      <c r="J42" s="17"/>
      <c r="K42" s="21"/>
      <c r="L42" s="15"/>
      <c r="M42" s="21"/>
      <c r="N42" s="15"/>
      <c r="O42" s="17"/>
      <c r="P42" s="19"/>
      <c r="Q42" s="15"/>
      <c r="R42" s="20"/>
      <c r="S42" s="15"/>
      <c r="T42" s="12"/>
      <c r="U42" s="7"/>
    </row>
    <row r="43" spans="1:21" ht="13.2" x14ac:dyDescent="0.25">
      <c r="A43" s="17" t="s">
        <v>168</v>
      </c>
      <c r="B43" s="18"/>
      <c r="C43" s="15"/>
      <c r="D43" s="15"/>
      <c r="E43" s="18"/>
      <c r="F43" s="15"/>
      <c r="G43" s="15"/>
      <c r="H43" s="23"/>
      <c r="I43" s="17"/>
      <c r="J43" s="17"/>
      <c r="K43" s="21"/>
      <c r="L43" s="15"/>
      <c r="M43" s="21"/>
      <c r="N43" s="15"/>
      <c r="O43" s="17"/>
      <c r="P43" s="19"/>
      <c r="Q43" s="15"/>
      <c r="R43" s="20"/>
      <c r="S43" s="15"/>
      <c r="T43" s="12"/>
      <c r="U43" s="7"/>
    </row>
    <row r="44" spans="1:21" ht="13.2" x14ac:dyDescent="0.25">
      <c r="A44" s="17" t="s">
        <v>169</v>
      </c>
      <c r="B44" s="18"/>
      <c r="C44" s="15"/>
      <c r="D44" s="15"/>
      <c r="E44" s="18"/>
      <c r="F44" s="15"/>
      <c r="G44" s="15"/>
      <c r="H44" s="23"/>
      <c r="I44" s="17"/>
      <c r="J44" s="17"/>
      <c r="K44" s="21"/>
      <c r="L44" s="15"/>
      <c r="M44" s="21"/>
      <c r="N44" s="15"/>
      <c r="O44" s="17"/>
      <c r="P44" s="19"/>
      <c r="Q44" s="15"/>
      <c r="R44" s="20"/>
      <c r="S44" s="15"/>
      <c r="T44" s="12"/>
      <c r="U44" s="7"/>
    </row>
    <row r="45" spans="1:21" ht="13.2" x14ac:dyDescent="0.25">
      <c r="A45" s="17" t="s">
        <v>170</v>
      </c>
      <c r="B45" s="18"/>
      <c r="C45" s="15"/>
      <c r="D45" s="15"/>
      <c r="E45" s="18"/>
      <c r="F45" s="15"/>
      <c r="G45" s="15"/>
      <c r="H45" s="23"/>
      <c r="I45" s="17"/>
      <c r="J45" s="17"/>
      <c r="K45" s="21"/>
      <c r="L45" s="15"/>
      <c r="M45" s="21"/>
      <c r="N45" s="15"/>
      <c r="O45" s="17"/>
      <c r="P45" s="19"/>
      <c r="Q45" s="15"/>
      <c r="R45" s="20"/>
      <c r="S45" s="15"/>
      <c r="T45" s="12"/>
      <c r="U45" s="7"/>
    </row>
    <row r="46" spans="1:21" ht="13.2" x14ac:dyDescent="0.25">
      <c r="A46" s="17" t="s">
        <v>171</v>
      </c>
      <c r="B46" s="18"/>
      <c r="C46" s="15"/>
      <c r="D46" s="15"/>
      <c r="E46" s="18"/>
      <c r="F46" s="15"/>
      <c r="G46" s="15"/>
      <c r="H46" s="23"/>
      <c r="I46" s="17"/>
      <c r="J46" s="17"/>
      <c r="K46" s="21"/>
      <c r="L46" s="15"/>
      <c r="M46" s="21"/>
      <c r="N46" s="15"/>
      <c r="O46" s="17"/>
      <c r="P46" s="19"/>
      <c r="Q46" s="15"/>
      <c r="R46" s="20"/>
      <c r="S46" s="15"/>
      <c r="T46" s="12"/>
      <c r="U46" s="7"/>
    </row>
    <row r="47" spans="1:21" ht="13.2" x14ac:dyDescent="0.25">
      <c r="A47" s="17" t="s">
        <v>172</v>
      </c>
      <c r="B47" s="18"/>
      <c r="C47" s="15"/>
      <c r="D47" s="15"/>
      <c r="E47" s="18"/>
      <c r="F47" s="15"/>
      <c r="G47" s="15"/>
      <c r="H47" s="23"/>
      <c r="I47" s="17"/>
      <c r="J47" s="17"/>
      <c r="K47" s="21"/>
      <c r="L47" s="15"/>
      <c r="M47" s="21"/>
      <c r="N47" s="15"/>
      <c r="O47" s="17"/>
      <c r="P47" s="19"/>
      <c r="Q47" s="15"/>
      <c r="R47" s="20"/>
      <c r="S47" s="15"/>
    </row>
    <row r="48" spans="1:21" ht="13.2" x14ac:dyDescent="0.25">
      <c r="A48" s="17" t="s">
        <v>173</v>
      </c>
      <c r="B48" s="18"/>
      <c r="C48" s="15"/>
      <c r="D48" s="15"/>
      <c r="E48" s="18"/>
      <c r="F48" s="15"/>
      <c r="G48" s="15"/>
      <c r="H48" s="23"/>
      <c r="I48" s="17"/>
      <c r="J48" s="17"/>
      <c r="K48" s="21"/>
      <c r="L48" s="15"/>
      <c r="M48" s="21"/>
      <c r="N48" s="15"/>
      <c r="O48" s="17"/>
      <c r="P48" s="19"/>
      <c r="Q48" s="15"/>
      <c r="R48" s="20"/>
      <c r="S48" s="15"/>
    </row>
    <row r="49" spans="1:19" ht="13.2" x14ac:dyDescent="0.25">
      <c r="A49" s="17" t="s">
        <v>174</v>
      </c>
      <c r="B49" s="18"/>
      <c r="C49" s="15"/>
      <c r="D49" s="15"/>
      <c r="E49" s="18"/>
      <c r="F49" s="15"/>
      <c r="G49" s="15"/>
      <c r="H49" s="23"/>
      <c r="I49" s="17"/>
      <c r="J49" s="17"/>
      <c r="K49" s="21"/>
      <c r="L49" s="15"/>
      <c r="M49" s="21"/>
      <c r="N49" s="15"/>
      <c r="O49" s="17"/>
      <c r="P49" s="19"/>
      <c r="Q49" s="15"/>
      <c r="R49" s="20"/>
      <c r="S49" s="15"/>
    </row>
    <row r="50" spans="1:19" ht="13.2" x14ac:dyDescent="0.25">
      <c r="A50" s="17" t="s">
        <v>175</v>
      </c>
      <c r="B50" s="18"/>
      <c r="C50" s="15"/>
      <c r="D50" s="15"/>
      <c r="E50" s="18"/>
      <c r="F50" s="15"/>
      <c r="G50" s="15"/>
      <c r="H50" s="23"/>
      <c r="I50" s="17"/>
      <c r="J50" s="17"/>
      <c r="K50" s="21"/>
      <c r="L50" s="15"/>
      <c r="M50" s="21"/>
      <c r="N50" s="15"/>
      <c r="O50" s="17"/>
      <c r="P50" s="19"/>
      <c r="Q50" s="15"/>
      <c r="R50" s="20"/>
      <c r="S50" s="15"/>
    </row>
    <row r="51" spans="1:19" ht="13.2" x14ac:dyDescent="0.25">
      <c r="A51" s="17" t="s">
        <v>176</v>
      </c>
      <c r="B51" s="18"/>
      <c r="C51" s="15"/>
      <c r="D51" s="15"/>
      <c r="E51" s="18"/>
      <c r="F51" s="15"/>
      <c r="G51" s="15"/>
      <c r="H51" s="23"/>
      <c r="I51" s="17"/>
      <c r="J51" s="17"/>
      <c r="K51" s="21"/>
      <c r="L51" s="15"/>
      <c r="M51" s="21"/>
      <c r="N51" s="15"/>
      <c r="O51" s="17"/>
      <c r="P51" s="19"/>
      <c r="Q51" s="15"/>
      <c r="R51" s="20"/>
      <c r="S51" s="15"/>
    </row>
    <row r="52" spans="1:19" ht="13.2" x14ac:dyDescent="0.25">
      <c r="O52" s="5"/>
      <c r="P52" s="5"/>
    </row>
    <row r="53" spans="1:19" ht="13.2" x14ac:dyDescent="0.25">
      <c r="O53" s="5"/>
      <c r="P53" s="5"/>
    </row>
    <row r="54" spans="1:19" ht="13.2" x14ac:dyDescent="0.25">
      <c r="O54" s="5"/>
      <c r="P54" s="5"/>
    </row>
    <row r="55" spans="1:19" ht="13.2" x14ac:dyDescent="0.25">
      <c r="O55" s="5"/>
      <c r="P55" s="5"/>
    </row>
    <row r="56" spans="1:19" ht="13.2" x14ac:dyDescent="0.25">
      <c r="O56" s="5"/>
      <c r="P56" s="5"/>
    </row>
    <row r="57" spans="1:19" ht="13.2" x14ac:dyDescent="0.25">
      <c r="O57" s="5"/>
      <c r="P57" s="5"/>
    </row>
    <row r="58" spans="1:19" ht="13.2" x14ac:dyDescent="0.25">
      <c r="O58" s="5"/>
      <c r="P58" s="5"/>
    </row>
    <row r="59" spans="1:19" ht="13.2" x14ac:dyDescent="0.25">
      <c r="O59" s="5"/>
      <c r="P59" s="5"/>
    </row>
    <row r="60" spans="1:19" ht="13.2" x14ac:dyDescent="0.25">
      <c r="H60" s="8"/>
      <c r="I60" s="7"/>
      <c r="J60" s="6"/>
      <c r="O60" s="5"/>
      <c r="P60" s="5"/>
    </row>
    <row r="61" spans="1:19" ht="13.2" x14ac:dyDescent="0.25">
      <c r="H61" s="8"/>
      <c r="I61" s="7"/>
      <c r="J61" s="6"/>
      <c r="O61" s="5"/>
      <c r="P61" s="5"/>
    </row>
    <row r="62" spans="1:19" ht="13.2" x14ac:dyDescent="0.25">
      <c r="O62" s="5"/>
      <c r="P62" s="5"/>
    </row>
    <row r="63" spans="1:19" ht="13.2" x14ac:dyDescent="0.25">
      <c r="O63" s="5"/>
      <c r="P63" s="5"/>
    </row>
    <row r="64" spans="1:19" ht="13.2" x14ac:dyDescent="0.25">
      <c r="O64" s="5"/>
      <c r="P64" s="5"/>
    </row>
    <row r="65" spans="15:16" ht="13.2" x14ac:dyDescent="0.25">
      <c r="O65" s="5"/>
      <c r="P65" s="5"/>
    </row>
    <row r="66" spans="15:16" ht="13.2" x14ac:dyDescent="0.25">
      <c r="O66" s="5"/>
      <c r="P66" s="5"/>
    </row>
    <row r="67" spans="15:16" ht="13.2" x14ac:dyDescent="0.25">
      <c r="O67" s="5"/>
      <c r="P67" s="5"/>
    </row>
    <row r="68" spans="15:16" ht="13.2" x14ac:dyDescent="0.25">
      <c r="O68" s="5"/>
      <c r="P68" s="5"/>
    </row>
    <row r="69" spans="15:16" ht="13.2" x14ac:dyDescent="0.25">
      <c r="O69" s="5"/>
      <c r="P69" s="5"/>
    </row>
    <row r="70" spans="15:16" ht="13.2" x14ac:dyDescent="0.25">
      <c r="O70" s="5"/>
      <c r="P70" s="5"/>
    </row>
    <row r="71" spans="15:16" ht="13.2" x14ac:dyDescent="0.25">
      <c r="O71" s="5"/>
      <c r="P71" s="5"/>
    </row>
    <row r="72" spans="15:16" ht="13.2" x14ac:dyDescent="0.25">
      <c r="O72" s="5"/>
      <c r="P72" s="5"/>
    </row>
    <row r="73" spans="15:16" ht="13.2" x14ac:dyDescent="0.25">
      <c r="O73" s="5"/>
      <c r="P73" s="5"/>
    </row>
    <row r="74" spans="15:16" ht="13.2" x14ac:dyDescent="0.25">
      <c r="O74" s="5"/>
      <c r="P74" s="5"/>
    </row>
    <row r="75" spans="15:16" ht="13.2" x14ac:dyDescent="0.25">
      <c r="O75" s="5"/>
      <c r="P75" s="5"/>
    </row>
    <row r="76" spans="15:16" ht="13.2" x14ac:dyDescent="0.25">
      <c r="O76" s="5"/>
      <c r="P76" s="5"/>
    </row>
    <row r="77" spans="15:16" ht="13.2" x14ac:dyDescent="0.25">
      <c r="O77" s="5"/>
      <c r="P77" s="5"/>
    </row>
    <row r="78" spans="15:16" ht="13.2" x14ac:dyDescent="0.25">
      <c r="O78" s="5"/>
      <c r="P78" s="5"/>
    </row>
    <row r="79" spans="15:16" ht="13.2" x14ac:dyDescent="0.25">
      <c r="O79" s="5"/>
      <c r="P79" s="5"/>
    </row>
    <row r="80" spans="15:16" ht="13.2" x14ac:dyDescent="0.25">
      <c r="O80" s="5"/>
      <c r="P80" s="5"/>
    </row>
    <row r="81" spans="15:16" ht="13.2" x14ac:dyDescent="0.25">
      <c r="O81" s="5"/>
      <c r="P81" s="5"/>
    </row>
    <row r="82" spans="15:16" ht="13.2" x14ac:dyDescent="0.25">
      <c r="O82" s="5"/>
      <c r="P82" s="5"/>
    </row>
    <row r="83" spans="15:16" ht="13.2" x14ac:dyDescent="0.25">
      <c r="O83" s="5"/>
      <c r="P83" s="5"/>
    </row>
    <row r="84" spans="15:16" ht="13.2" x14ac:dyDescent="0.25">
      <c r="O84" s="5"/>
      <c r="P84" s="5"/>
    </row>
    <row r="85" spans="15:16" ht="13.2" x14ac:dyDescent="0.25">
      <c r="O85" s="5"/>
      <c r="P85" s="5"/>
    </row>
    <row r="86" spans="15:16" ht="13.2" x14ac:dyDescent="0.25">
      <c r="O86" s="5"/>
      <c r="P86" s="5"/>
    </row>
    <row r="87" spans="15:16" ht="13.2" x14ac:dyDescent="0.25">
      <c r="O87" s="5"/>
      <c r="P87" s="5"/>
    </row>
    <row r="88" spans="15:16" ht="13.2" x14ac:dyDescent="0.25">
      <c r="O88" s="5"/>
      <c r="P88" s="5"/>
    </row>
    <row r="89" spans="15:16" ht="13.2" x14ac:dyDescent="0.25">
      <c r="O89" s="5"/>
      <c r="P89" s="5"/>
    </row>
    <row r="90" spans="15:16" ht="13.2" x14ac:dyDescent="0.25">
      <c r="O90" s="5"/>
      <c r="P90" s="5"/>
    </row>
    <row r="91" spans="15:16" ht="13.2" x14ac:dyDescent="0.25">
      <c r="O91" s="5"/>
      <c r="P91" s="5"/>
    </row>
    <row r="92" spans="15:16" ht="13.2" x14ac:dyDescent="0.25">
      <c r="O92" s="5"/>
      <c r="P92" s="5"/>
    </row>
    <row r="93" spans="15:16" ht="13.2" x14ac:dyDescent="0.25">
      <c r="O93" s="5"/>
      <c r="P93" s="5"/>
    </row>
  </sheetData>
  <mergeCells count="287">
    <mergeCell ref="K36:L36"/>
    <mergeCell ref="M36:N36"/>
    <mergeCell ref="P36:Q36"/>
    <mergeCell ref="R36:S36"/>
    <mergeCell ref="T36:U36"/>
    <mergeCell ref="M37:N37"/>
    <mergeCell ref="T37:U37"/>
    <mergeCell ref="K41:L41"/>
    <mergeCell ref="M41:N41"/>
    <mergeCell ref="P41:Q41"/>
    <mergeCell ref="R41:S41"/>
    <mergeCell ref="T41:U41"/>
    <mergeCell ref="K35:L35"/>
    <mergeCell ref="M35:N35"/>
    <mergeCell ref="P35:Q35"/>
    <mergeCell ref="R35:S35"/>
    <mergeCell ref="T35:U35"/>
    <mergeCell ref="K31:L31"/>
    <mergeCell ref="K32:L32"/>
    <mergeCell ref="M32:N32"/>
    <mergeCell ref="K33:L33"/>
    <mergeCell ref="M33:N33"/>
    <mergeCell ref="K34:L34"/>
    <mergeCell ref="M34:N34"/>
    <mergeCell ref="K30:L30"/>
    <mergeCell ref="M30:N30"/>
    <mergeCell ref="P30:Q30"/>
    <mergeCell ref="R30:S30"/>
    <mergeCell ref="T30:U30"/>
    <mergeCell ref="M31:N31"/>
    <mergeCell ref="T31:U31"/>
    <mergeCell ref="P33:Q33"/>
    <mergeCell ref="P34:Q34"/>
    <mergeCell ref="R34:S34"/>
    <mergeCell ref="T34:U34"/>
    <mergeCell ref="P31:Q31"/>
    <mergeCell ref="R31:S31"/>
    <mergeCell ref="P32:Q32"/>
    <mergeCell ref="R32:S32"/>
    <mergeCell ref="T32:U32"/>
    <mergeCell ref="R33:S33"/>
    <mergeCell ref="T33:U33"/>
    <mergeCell ref="P46:Q46"/>
    <mergeCell ref="R46:S46"/>
    <mergeCell ref="T46:U46"/>
    <mergeCell ref="R47:S47"/>
    <mergeCell ref="P51:Q51"/>
    <mergeCell ref="R51:S51"/>
    <mergeCell ref="P47:Q47"/>
    <mergeCell ref="P48:Q48"/>
    <mergeCell ref="R48:S48"/>
    <mergeCell ref="P49:Q49"/>
    <mergeCell ref="R49:S49"/>
    <mergeCell ref="P50:Q50"/>
    <mergeCell ref="R50:S50"/>
    <mergeCell ref="P42:Q42"/>
    <mergeCell ref="P43:Q43"/>
    <mergeCell ref="R43:S43"/>
    <mergeCell ref="T43:U43"/>
    <mergeCell ref="P44:Q44"/>
    <mergeCell ref="R44:S44"/>
    <mergeCell ref="T44:U44"/>
    <mergeCell ref="P45:Q45"/>
    <mergeCell ref="R45:S45"/>
    <mergeCell ref="T45:U45"/>
    <mergeCell ref="R42:S42"/>
    <mergeCell ref="T42:U42"/>
    <mergeCell ref="K49:L49"/>
    <mergeCell ref="K50:L50"/>
    <mergeCell ref="K51:L51"/>
    <mergeCell ref="M46:N46"/>
    <mergeCell ref="M47:N47"/>
    <mergeCell ref="M48:N48"/>
    <mergeCell ref="M49:N49"/>
    <mergeCell ref="M50:N50"/>
    <mergeCell ref="M51:N51"/>
    <mergeCell ref="M38:N38"/>
    <mergeCell ref="K39:L39"/>
    <mergeCell ref="M39:N39"/>
    <mergeCell ref="K40:L40"/>
    <mergeCell ref="M40:N40"/>
    <mergeCell ref="K45:L45"/>
    <mergeCell ref="K46:L46"/>
    <mergeCell ref="K47:L47"/>
    <mergeCell ref="K48:L48"/>
    <mergeCell ref="K42:L42"/>
    <mergeCell ref="M42:N42"/>
    <mergeCell ref="K43:L43"/>
    <mergeCell ref="M43:N43"/>
    <mergeCell ref="K44:L44"/>
    <mergeCell ref="M44:N44"/>
    <mergeCell ref="M45:N45"/>
    <mergeCell ref="R40:S40"/>
    <mergeCell ref="T40:U40"/>
    <mergeCell ref="P37:Q37"/>
    <mergeCell ref="R37:S37"/>
    <mergeCell ref="P38:Q38"/>
    <mergeCell ref="R38:S38"/>
    <mergeCell ref="T38:U38"/>
    <mergeCell ref="R39:S39"/>
    <mergeCell ref="T39:U39"/>
    <mergeCell ref="R27:S27"/>
    <mergeCell ref="P29:Q29"/>
    <mergeCell ref="R29:S29"/>
    <mergeCell ref="K27:L27"/>
    <mergeCell ref="K28:L28"/>
    <mergeCell ref="M28:N28"/>
    <mergeCell ref="P28:Q28"/>
    <mergeCell ref="R28:S28"/>
    <mergeCell ref="K29:L29"/>
    <mergeCell ref="M29:N29"/>
    <mergeCell ref="R25:S25"/>
    <mergeCell ref="K21:L21"/>
    <mergeCell ref="K22:L22"/>
    <mergeCell ref="M22:N22"/>
    <mergeCell ref="K23:L23"/>
    <mergeCell ref="M23:N23"/>
    <mergeCell ref="K24:L24"/>
    <mergeCell ref="M24:N24"/>
    <mergeCell ref="K26:L26"/>
    <mergeCell ref="M26:N26"/>
    <mergeCell ref="P26:Q26"/>
    <mergeCell ref="R26:S26"/>
    <mergeCell ref="R22:S22"/>
    <mergeCell ref="P23:Q23"/>
    <mergeCell ref="R23:S23"/>
    <mergeCell ref="P24:Q24"/>
    <mergeCell ref="R24:S24"/>
    <mergeCell ref="P18:Q18"/>
    <mergeCell ref="P19:Q19"/>
    <mergeCell ref="K20:L20"/>
    <mergeCell ref="M20:N20"/>
    <mergeCell ref="R20:S20"/>
    <mergeCell ref="M21:N21"/>
    <mergeCell ref="R21:S21"/>
    <mergeCell ref="R17:S17"/>
    <mergeCell ref="B18:D18"/>
    <mergeCell ref="E18:G18"/>
    <mergeCell ref="K18:L18"/>
    <mergeCell ref="M18:N18"/>
    <mergeCell ref="R18:S18"/>
    <mergeCell ref="K19:L19"/>
    <mergeCell ref="M19:N19"/>
    <mergeCell ref="R19:S19"/>
    <mergeCell ref="E11:G11"/>
    <mergeCell ref="K11:L11"/>
    <mergeCell ref="M11:N11"/>
    <mergeCell ref="P11:Q11"/>
    <mergeCell ref="R11:S11"/>
    <mergeCell ref="B11:D11"/>
    <mergeCell ref="B12:D12"/>
    <mergeCell ref="E12:G12"/>
    <mergeCell ref="K12:L12"/>
    <mergeCell ref="M12:N12"/>
    <mergeCell ref="P12:Q12"/>
    <mergeCell ref="R12:S12"/>
    <mergeCell ref="T7:U7"/>
    <mergeCell ref="V7:W7"/>
    <mergeCell ref="T8:U8"/>
    <mergeCell ref="V8:W8"/>
    <mergeCell ref="Q3:R3"/>
    <mergeCell ref="Q4:R4"/>
    <mergeCell ref="S4:T4"/>
    <mergeCell ref="Q5:R5"/>
    <mergeCell ref="S5:T5"/>
    <mergeCell ref="Q6:R6"/>
    <mergeCell ref="Q7:R7"/>
    <mergeCell ref="Q8:R8"/>
    <mergeCell ref="J1:K1"/>
    <mergeCell ref="Q1:R1"/>
    <mergeCell ref="S1:T1"/>
    <mergeCell ref="L2:M2"/>
    <mergeCell ref="Q2:R2"/>
    <mergeCell ref="S2:T2"/>
    <mergeCell ref="S3:T3"/>
    <mergeCell ref="T6:U6"/>
    <mergeCell ref="V6:W6"/>
    <mergeCell ref="N6:O6"/>
    <mergeCell ref="R13:S13"/>
    <mergeCell ref="E14:G14"/>
    <mergeCell ref="M14:N14"/>
    <mergeCell ref="R14:S14"/>
    <mergeCell ref="P15:Q15"/>
    <mergeCell ref="P16:Q16"/>
    <mergeCell ref="K13:L13"/>
    <mergeCell ref="K14:L14"/>
    <mergeCell ref="K15:L15"/>
    <mergeCell ref="M15:N15"/>
    <mergeCell ref="R15:S15"/>
    <mergeCell ref="M16:N16"/>
    <mergeCell ref="R16:S16"/>
    <mergeCell ref="K16:L16"/>
    <mergeCell ref="E36:G36"/>
    <mergeCell ref="E51:G51"/>
    <mergeCell ref="H60:I60"/>
    <mergeCell ref="H61:I61"/>
    <mergeCell ref="P13:Q13"/>
    <mergeCell ref="P14:Q14"/>
    <mergeCell ref="B13:D13"/>
    <mergeCell ref="E13:G13"/>
    <mergeCell ref="M13:N13"/>
    <mergeCell ref="K17:L17"/>
    <mergeCell ref="M17:N17"/>
    <mergeCell ref="P17:Q17"/>
    <mergeCell ref="P20:Q20"/>
    <mergeCell ref="P21:Q21"/>
    <mergeCell ref="P22:Q22"/>
    <mergeCell ref="K25:L25"/>
    <mergeCell ref="M25:N25"/>
    <mergeCell ref="P25:Q25"/>
    <mergeCell ref="M27:N27"/>
    <mergeCell ref="P27:Q27"/>
    <mergeCell ref="P39:Q39"/>
    <mergeCell ref="P40:Q40"/>
    <mergeCell ref="K37:L37"/>
    <mergeCell ref="K38:L38"/>
    <mergeCell ref="B30:D30"/>
    <mergeCell ref="B31:D31"/>
    <mergeCell ref="B32:D32"/>
    <mergeCell ref="B33:D33"/>
    <mergeCell ref="B34:D34"/>
    <mergeCell ref="B35:D35"/>
    <mergeCell ref="E30:G30"/>
    <mergeCell ref="E31:G31"/>
    <mergeCell ref="E32:G32"/>
    <mergeCell ref="E33:G33"/>
    <mergeCell ref="E34:G34"/>
    <mergeCell ref="E35:G35"/>
    <mergeCell ref="B27:D27"/>
    <mergeCell ref="B28:D28"/>
    <mergeCell ref="E23:G23"/>
    <mergeCell ref="E24:G24"/>
    <mergeCell ref="E25:G25"/>
    <mergeCell ref="E26:G26"/>
    <mergeCell ref="E27:G27"/>
    <mergeCell ref="E28:G28"/>
    <mergeCell ref="E29:G29"/>
    <mergeCell ref="B29:D29"/>
    <mergeCell ref="E46:G46"/>
    <mergeCell ref="E47:G47"/>
    <mergeCell ref="E48:G48"/>
    <mergeCell ref="E49:G49"/>
    <mergeCell ref="E50:G50"/>
    <mergeCell ref="B14:D14"/>
    <mergeCell ref="B15:D15"/>
    <mergeCell ref="E15:G15"/>
    <mergeCell ref="B16:D16"/>
    <mergeCell ref="E16:G16"/>
    <mergeCell ref="B17:D17"/>
    <mergeCell ref="E17:G17"/>
    <mergeCell ref="B19:D19"/>
    <mergeCell ref="E19:G19"/>
    <mergeCell ref="B20:D20"/>
    <mergeCell ref="E20:G20"/>
    <mergeCell ref="B21:D21"/>
    <mergeCell ref="E21:G21"/>
    <mergeCell ref="E22:G22"/>
    <mergeCell ref="B22:D22"/>
    <mergeCell ref="B23:D23"/>
    <mergeCell ref="B24:D24"/>
    <mergeCell ref="B25:D25"/>
    <mergeCell ref="B26:D26"/>
    <mergeCell ref="E37:G37"/>
    <mergeCell ref="E38:G38"/>
    <mergeCell ref="E39:G39"/>
    <mergeCell ref="E40:G40"/>
    <mergeCell ref="E41:G41"/>
    <mergeCell ref="E42:G42"/>
    <mergeCell ref="E43:G43"/>
    <mergeCell ref="E44:G44"/>
    <mergeCell ref="E45:G45"/>
    <mergeCell ref="B36:D36"/>
    <mergeCell ref="B37:D37"/>
    <mergeCell ref="B38:D38"/>
    <mergeCell ref="B39:D39"/>
    <mergeCell ref="B40:D40"/>
    <mergeCell ref="B41:D41"/>
    <mergeCell ref="B42:D42"/>
    <mergeCell ref="B50:D50"/>
    <mergeCell ref="B51:D51"/>
    <mergeCell ref="B43:D43"/>
    <mergeCell ref="B44:D44"/>
    <mergeCell ref="B45:D45"/>
    <mergeCell ref="B46:D46"/>
    <mergeCell ref="B47:D47"/>
    <mergeCell ref="B48:D48"/>
    <mergeCell ref="B49:D49"/>
  </mergeCells>
  <conditionalFormatting sqref="A11:V11">
    <cfRule type="notContainsBlanks" dxfId="0" priority="1">
      <formula>LEN(TRIM(A11))&gt;0</formula>
    </cfRule>
  </conditionalFormatting>
  <dataValidations count="1">
    <dataValidation type="list" allowBlank="1" showErrorMessage="1" sqref="O12:O51">
      <formula1>"Pass,Fail,Warning,Alert"</formula1>
    </dataValidation>
  </dataValidations>
  <hyperlinks>
    <hyperlink ref="R16" r:id="rId1"/>
    <hyperlink ref="R18" r:id="rId2"/>
    <hyperlink ref="R23" r:id="rId3"/>
    <hyperlink ref="H24" r:id="rId4"/>
    <hyperlink ref="H27" r:id="rId5"/>
    <hyperlink ref="H28" r:id="rId6"/>
    <hyperlink ref="R29" r:id="rId7"/>
    <hyperlink ref="R31" r:id="rId8"/>
  </hyperlinks>
  <pageMargins left="0.7" right="0.7" top="0.75" bottom="0.75" header="0.3" footer="0.3"/>
  <pageSetup paperSize="9" orientation="portrait" r:id="rId9"/>
  <drawing r:id="rId10"/>
  <legacy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2"/>
  <sheetViews>
    <sheetView workbookViewId="0">
      <pane ySplit="14" topLeftCell="A15" activePane="bottomLeft" state="frozen"/>
      <selection pane="bottomLeft" activeCell="K49" sqref="K49"/>
    </sheetView>
  </sheetViews>
  <sheetFormatPr defaultColWidth="12.6640625" defaultRowHeight="15.75" customHeight="1" x14ac:dyDescent="0.25"/>
  <sheetData>
    <row r="1" spans="1:11" ht="13.2" x14ac:dyDescent="0.25">
      <c r="B1" s="47" t="s">
        <v>177</v>
      </c>
      <c r="C1" s="15"/>
      <c r="D1" s="48" t="s">
        <v>1</v>
      </c>
      <c r="E1" s="15"/>
      <c r="F1" s="49" t="s">
        <v>178</v>
      </c>
      <c r="G1" s="15"/>
      <c r="H1" s="50" t="s">
        <v>14</v>
      </c>
      <c r="I1" s="15"/>
    </row>
    <row r="2" spans="1:11" ht="13.2" x14ac:dyDescent="0.25">
      <c r="B2" s="47" t="s">
        <v>179</v>
      </c>
      <c r="C2" s="15"/>
      <c r="D2" s="48">
        <v>1</v>
      </c>
      <c r="E2" s="15"/>
      <c r="F2" s="49" t="s">
        <v>180</v>
      </c>
      <c r="G2" s="15"/>
      <c r="H2" s="50" t="s">
        <v>9</v>
      </c>
      <c r="I2" s="15"/>
    </row>
    <row r="5" spans="1:11" ht="13.2" x14ac:dyDescent="0.25">
      <c r="F5" s="51" t="s">
        <v>181</v>
      </c>
      <c r="G5" s="15"/>
    </row>
    <row r="6" spans="1:11" ht="13.2" x14ac:dyDescent="0.25">
      <c r="F6" s="52" t="s">
        <v>41</v>
      </c>
      <c r="G6" s="53">
        <f>COUNTIF(G15:G30,"Passed")</f>
        <v>12</v>
      </c>
    </row>
    <row r="7" spans="1:11" ht="13.2" x14ac:dyDescent="0.25">
      <c r="F7" s="54" t="s">
        <v>182</v>
      </c>
      <c r="G7" s="55">
        <f>COUNTIF(G15:G30,"Failed")</f>
        <v>4</v>
      </c>
    </row>
    <row r="8" spans="1:11" ht="13.2" x14ac:dyDescent="0.25">
      <c r="F8" s="56" t="s">
        <v>183</v>
      </c>
      <c r="G8" s="57">
        <f>SUM(G6:G7)</f>
        <v>16</v>
      </c>
    </row>
    <row r="12" spans="1:11" ht="15.75" customHeight="1" x14ac:dyDescent="0.25">
      <c r="D12" s="7"/>
      <c r="E12" s="7"/>
      <c r="F12" s="7"/>
      <c r="G12" s="7"/>
    </row>
    <row r="14" spans="1:11" ht="13.2" x14ac:dyDescent="0.25">
      <c r="A14" s="58" t="s">
        <v>184</v>
      </c>
      <c r="B14" s="47" t="s">
        <v>185</v>
      </c>
      <c r="C14" s="15"/>
      <c r="D14" s="15"/>
      <c r="E14" s="58" t="s">
        <v>180</v>
      </c>
      <c r="F14" s="58" t="s">
        <v>186</v>
      </c>
      <c r="G14" s="58" t="s">
        <v>30</v>
      </c>
      <c r="H14" s="47" t="s">
        <v>187</v>
      </c>
      <c r="I14" s="15"/>
      <c r="J14" s="47" t="s">
        <v>188</v>
      </c>
      <c r="K14" s="15"/>
    </row>
    <row r="15" spans="1:11" ht="13.2" x14ac:dyDescent="0.25">
      <c r="A15" s="59" t="s">
        <v>189</v>
      </c>
      <c r="B15" s="60" t="s">
        <v>190</v>
      </c>
      <c r="C15" s="15"/>
      <c r="D15" s="15"/>
      <c r="E15" s="61" t="s">
        <v>9</v>
      </c>
      <c r="F15" s="62" t="s">
        <v>191</v>
      </c>
      <c r="G15" s="62" t="s">
        <v>192</v>
      </c>
      <c r="H15" s="63" t="s">
        <v>9</v>
      </c>
      <c r="I15" s="15"/>
      <c r="J15" s="60" t="s">
        <v>193</v>
      </c>
      <c r="K15" s="15"/>
    </row>
    <row r="16" spans="1:11" ht="13.2" x14ac:dyDescent="0.25">
      <c r="A16" s="59" t="s">
        <v>194</v>
      </c>
      <c r="B16" s="60" t="s">
        <v>43</v>
      </c>
      <c r="C16" s="15"/>
      <c r="D16" s="15"/>
      <c r="E16" s="61" t="s">
        <v>9</v>
      </c>
      <c r="F16" s="62" t="s">
        <v>195</v>
      </c>
      <c r="G16" s="62" t="s">
        <v>192</v>
      </c>
      <c r="H16" s="63" t="s">
        <v>9</v>
      </c>
      <c r="I16" s="15"/>
      <c r="J16" s="60" t="s">
        <v>193</v>
      </c>
      <c r="K16" s="15"/>
    </row>
    <row r="17" spans="1:11" ht="13.2" x14ac:dyDescent="0.25">
      <c r="A17" s="59" t="s">
        <v>196</v>
      </c>
      <c r="B17" s="60" t="s">
        <v>197</v>
      </c>
      <c r="C17" s="15"/>
      <c r="D17" s="15"/>
      <c r="E17" s="61" t="s">
        <v>9</v>
      </c>
      <c r="F17" s="62" t="s">
        <v>191</v>
      </c>
      <c r="G17" s="62" t="s">
        <v>192</v>
      </c>
      <c r="H17" s="63" t="s">
        <v>9</v>
      </c>
      <c r="I17" s="15"/>
      <c r="J17" s="60" t="s">
        <v>193</v>
      </c>
      <c r="K17" s="15"/>
    </row>
    <row r="18" spans="1:11" ht="13.2" x14ac:dyDescent="0.25">
      <c r="A18" s="59" t="s">
        <v>198</v>
      </c>
      <c r="B18" s="60" t="s">
        <v>199</v>
      </c>
      <c r="C18" s="15"/>
      <c r="D18" s="15"/>
      <c r="E18" s="61" t="s">
        <v>9</v>
      </c>
      <c r="F18" s="62" t="s">
        <v>191</v>
      </c>
      <c r="G18" s="62" t="s">
        <v>192</v>
      </c>
      <c r="H18" s="63" t="s">
        <v>9</v>
      </c>
      <c r="I18" s="15"/>
      <c r="J18" s="60" t="s">
        <v>193</v>
      </c>
      <c r="K18" s="15"/>
    </row>
    <row r="19" spans="1:11" ht="13.2" x14ac:dyDescent="0.25">
      <c r="A19" s="59" t="s">
        <v>200</v>
      </c>
      <c r="B19" s="60" t="s">
        <v>201</v>
      </c>
      <c r="C19" s="15"/>
      <c r="D19" s="15"/>
      <c r="E19" s="61" t="s">
        <v>9</v>
      </c>
      <c r="F19" s="62" t="s">
        <v>195</v>
      </c>
      <c r="G19" s="62" t="s">
        <v>182</v>
      </c>
      <c r="H19" s="63" t="s">
        <v>9</v>
      </c>
      <c r="I19" s="15"/>
      <c r="J19" s="60" t="s">
        <v>202</v>
      </c>
      <c r="K19" s="15"/>
    </row>
    <row r="20" spans="1:11" ht="13.2" x14ac:dyDescent="0.25">
      <c r="A20" s="59" t="s">
        <v>203</v>
      </c>
      <c r="B20" s="60" t="s">
        <v>204</v>
      </c>
      <c r="C20" s="15"/>
      <c r="D20" s="15"/>
      <c r="E20" s="61" t="s">
        <v>9</v>
      </c>
      <c r="F20" s="62" t="s">
        <v>191</v>
      </c>
      <c r="G20" s="62" t="s">
        <v>192</v>
      </c>
      <c r="H20" s="63" t="s">
        <v>9</v>
      </c>
      <c r="I20" s="15"/>
      <c r="J20" s="60" t="s">
        <v>193</v>
      </c>
      <c r="K20" s="15"/>
    </row>
    <row r="21" spans="1:11" ht="13.2" x14ac:dyDescent="0.25">
      <c r="A21" s="59" t="s">
        <v>205</v>
      </c>
      <c r="B21" s="60" t="s">
        <v>206</v>
      </c>
      <c r="C21" s="15"/>
      <c r="D21" s="15"/>
      <c r="E21" s="61" t="s">
        <v>9</v>
      </c>
      <c r="F21" s="62" t="s">
        <v>207</v>
      </c>
      <c r="G21" s="62" t="s">
        <v>182</v>
      </c>
      <c r="H21" s="63" t="s">
        <v>9</v>
      </c>
      <c r="I21" s="15"/>
      <c r="J21" s="60" t="s">
        <v>208</v>
      </c>
      <c r="K21" s="15"/>
    </row>
    <row r="22" spans="1:11" ht="13.2" x14ac:dyDescent="0.25">
      <c r="A22" s="59" t="s">
        <v>209</v>
      </c>
      <c r="B22" s="60" t="s">
        <v>210</v>
      </c>
      <c r="C22" s="15"/>
      <c r="D22" s="15"/>
      <c r="E22" s="61" t="s">
        <v>9</v>
      </c>
      <c r="F22" s="62" t="s">
        <v>195</v>
      </c>
      <c r="G22" s="62" t="s">
        <v>192</v>
      </c>
      <c r="H22" s="63" t="s">
        <v>9</v>
      </c>
      <c r="I22" s="15"/>
      <c r="J22" s="60" t="s">
        <v>193</v>
      </c>
      <c r="K22" s="15"/>
    </row>
    <row r="23" spans="1:11" ht="13.2" x14ac:dyDescent="0.25">
      <c r="A23" s="59" t="s">
        <v>211</v>
      </c>
      <c r="B23" s="60" t="s">
        <v>89</v>
      </c>
      <c r="C23" s="15"/>
      <c r="D23" s="15"/>
      <c r="E23" s="61" t="s">
        <v>9</v>
      </c>
      <c r="F23" s="62" t="s">
        <v>191</v>
      </c>
      <c r="G23" s="62" t="s">
        <v>192</v>
      </c>
      <c r="H23" s="63" t="s">
        <v>9</v>
      </c>
      <c r="I23" s="15"/>
      <c r="J23" s="60" t="s">
        <v>193</v>
      </c>
      <c r="K23" s="15"/>
    </row>
    <row r="24" spans="1:11" ht="13.2" x14ac:dyDescent="0.25">
      <c r="A24" s="59" t="s">
        <v>212</v>
      </c>
      <c r="B24" s="60" t="s">
        <v>213</v>
      </c>
      <c r="C24" s="15"/>
      <c r="D24" s="15"/>
      <c r="E24" s="61" t="s">
        <v>9</v>
      </c>
      <c r="F24" s="62" t="s">
        <v>207</v>
      </c>
      <c r="G24" s="62" t="s">
        <v>192</v>
      </c>
      <c r="H24" s="63" t="s">
        <v>9</v>
      </c>
      <c r="I24" s="15"/>
      <c r="J24" s="60" t="s">
        <v>193</v>
      </c>
      <c r="K24" s="15"/>
    </row>
    <row r="25" spans="1:11" ht="13.2" x14ac:dyDescent="0.25">
      <c r="A25" s="59" t="s">
        <v>214</v>
      </c>
      <c r="B25" s="60" t="s">
        <v>215</v>
      </c>
      <c r="C25" s="15"/>
      <c r="D25" s="15"/>
      <c r="E25" s="61" t="s">
        <v>9</v>
      </c>
      <c r="F25" s="62" t="s">
        <v>191</v>
      </c>
      <c r="G25" s="62" t="s">
        <v>192</v>
      </c>
      <c r="H25" s="63" t="s">
        <v>9</v>
      </c>
      <c r="I25" s="15"/>
      <c r="J25" s="60" t="s">
        <v>193</v>
      </c>
      <c r="K25" s="15"/>
    </row>
    <row r="26" spans="1:11" ht="13.2" x14ac:dyDescent="0.25">
      <c r="A26" s="59" t="s">
        <v>216</v>
      </c>
      <c r="B26" s="60" t="s">
        <v>217</v>
      </c>
      <c r="C26" s="15"/>
      <c r="D26" s="15"/>
      <c r="E26" s="61" t="s">
        <v>9</v>
      </c>
      <c r="F26" s="62" t="s">
        <v>195</v>
      </c>
      <c r="G26" s="62" t="s">
        <v>182</v>
      </c>
      <c r="H26" s="63" t="s">
        <v>9</v>
      </c>
      <c r="I26" s="15"/>
      <c r="J26" s="60" t="s">
        <v>218</v>
      </c>
      <c r="K26" s="15"/>
    </row>
    <row r="27" spans="1:11" ht="13.2" x14ac:dyDescent="0.25">
      <c r="A27" s="59" t="s">
        <v>219</v>
      </c>
      <c r="B27" s="60" t="s">
        <v>220</v>
      </c>
      <c r="C27" s="15"/>
      <c r="D27" s="15"/>
      <c r="E27" s="61" t="s">
        <v>9</v>
      </c>
      <c r="F27" s="62" t="s">
        <v>191</v>
      </c>
      <c r="G27" s="62" t="s">
        <v>192</v>
      </c>
      <c r="H27" s="63" t="s">
        <v>9</v>
      </c>
      <c r="I27" s="15"/>
      <c r="J27" s="60" t="s">
        <v>193</v>
      </c>
      <c r="K27" s="15"/>
    </row>
    <row r="28" spans="1:11" ht="13.2" x14ac:dyDescent="0.25">
      <c r="A28" s="59" t="s">
        <v>221</v>
      </c>
      <c r="B28" s="60" t="s">
        <v>222</v>
      </c>
      <c r="C28" s="15"/>
      <c r="D28" s="15"/>
      <c r="E28" s="61" t="s">
        <v>9</v>
      </c>
      <c r="F28" s="62" t="s">
        <v>195</v>
      </c>
      <c r="G28" s="62" t="s">
        <v>192</v>
      </c>
      <c r="H28" s="63" t="s">
        <v>9</v>
      </c>
      <c r="I28" s="15"/>
      <c r="J28" s="60" t="s">
        <v>193</v>
      </c>
      <c r="K28" s="15"/>
    </row>
    <row r="29" spans="1:11" ht="13.2" x14ac:dyDescent="0.25">
      <c r="A29" s="59" t="s">
        <v>223</v>
      </c>
      <c r="B29" s="60" t="s">
        <v>123</v>
      </c>
      <c r="C29" s="15"/>
      <c r="D29" s="15"/>
      <c r="E29" s="61" t="s">
        <v>9</v>
      </c>
      <c r="F29" s="62" t="s">
        <v>191</v>
      </c>
      <c r="G29" s="62" t="s">
        <v>182</v>
      </c>
      <c r="H29" s="63" t="s">
        <v>9</v>
      </c>
      <c r="I29" s="15"/>
      <c r="J29" s="60" t="s">
        <v>224</v>
      </c>
      <c r="K29" s="15"/>
    </row>
    <row r="30" spans="1:11" ht="13.2" x14ac:dyDescent="0.25">
      <c r="A30" s="59" t="s">
        <v>225</v>
      </c>
      <c r="B30" s="60" t="s">
        <v>128</v>
      </c>
      <c r="C30" s="15"/>
      <c r="D30" s="15"/>
      <c r="E30" s="61" t="s">
        <v>9</v>
      </c>
      <c r="F30" s="62" t="s">
        <v>191</v>
      </c>
      <c r="G30" s="62" t="s">
        <v>192</v>
      </c>
      <c r="H30" s="63" t="s">
        <v>9</v>
      </c>
      <c r="I30" s="15"/>
      <c r="J30" s="60" t="s">
        <v>193</v>
      </c>
      <c r="K30" s="15"/>
    </row>
    <row r="31" spans="1:11" ht="13.2" x14ac:dyDescent="0.25">
      <c r="A31" s="59" t="s">
        <v>226</v>
      </c>
      <c r="B31" s="60" t="s">
        <v>134</v>
      </c>
      <c r="C31" s="15"/>
      <c r="D31" s="15"/>
      <c r="E31" s="61" t="s">
        <v>9</v>
      </c>
      <c r="F31" s="62" t="s">
        <v>195</v>
      </c>
      <c r="G31" s="62" t="s">
        <v>192</v>
      </c>
      <c r="H31" s="63" t="s">
        <v>9</v>
      </c>
      <c r="I31" s="15"/>
      <c r="J31" s="60" t="s">
        <v>193</v>
      </c>
      <c r="K31" s="15"/>
    </row>
    <row r="32" spans="1:11" ht="13.2" x14ac:dyDescent="0.25">
      <c r="A32" s="59" t="s">
        <v>227</v>
      </c>
      <c r="B32" s="60" t="s">
        <v>228</v>
      </c>
      <c r="C32" s="15"/>
      <c r="D32" s="15"/>
      <c r="E32" s="61" t="s">
        <v>9</v>
      </c>
      <c r="F32" s="62" t="s">
        <v>191</v>
      </c>
      <c r="G32" s="62" t="s">
        <v>182</v>
      </c>
      <c r="H32" s="63" t="s">
        <v>9</v>
      </c>
      <c r="I32" s="15"/>
      <c r="J32" s="60" t="s">
        <v>229</v>
      </c>
      <c r="K32" s="15"/>
    </row>
  </sheetData>
  <mergeCells count="68">
    <mergeCell ref="J31:K31"/>
    <mergeCell ref="B32:D32"/>
    <mergeCell ref="H32:I32"/>
    <mergeCell ref="J32:K32"/>
    <mergeCell ref="B22:D22"/>
    <mergeCell ref="B23:D23"/>
    <mergeCell ref="B24:D24"/>
    <mergeCell ref="B25:D25"/>
    <mergeCell ref="B26:D26"/>
    <mergeCell ref="B27:D27"/>
    <mergeCell ref="B28:D28"/>
    <mergeCell ref="H22:I22"/>
    <mergeCell ref="H23:I23"/>
    <mergeCell ref="H24:I24"/>
    <mergeCell ref="H31:I31"/>
    <mergeCell ref="B29:D29"/>
    <mergeCell ref="B30:D30"/>
    <mergeCell ref="B31:D31"/>
    <mergeCell ref="B19:D19"/>
    <mergeCell ref="B20:D20"/>
    <mergeCell ref="B21:D21"/>
    <mergeCell ref="H18:I18"/>
    <mergeCell ref="H19:I19"/>
    <mergeCell ref="H20:I20"/>
    <mergeCell ref="H21:I21"/>
    <mergeCell ref="H17:I17"/>
    <mergeCell ref="J17:K17"/>
    <mergeCell ref="J18:K18"/>
    <mergeCell ref="B15:D15"/>
    <mergeCell ref="B16:D16"/>
    <mergeCell ref="B17:D17"/>
    <mergeCell ref="B18:D18"/>
    <mergeCell ref="J15:K15"/>
    <mergeCell ref="H14:I14"/>
    <mergeCell ref="H15:I15"/>
    <mergeCell ref="H16:I16"/>
    <mergeCell ref="J16:K16"/>
    <mergeCell ref="F5:G5"/>
    <mergeCell ref="D12:E12"/>
    <mergeCell ref="F12:G12"/>
    <mergeCell ref="B14:D14"/>
    <mergeCell ref="J14:K14"/>
    <mergeCell ref="B1:C1"/>
    <mergeCell ref="D1:E1"/>
    <mergeCell ref="F1:G1"/>
    <mergeCell ref="H1:I1"/>
    <mergeCell ref="B2:C2"/>
    <mergeCell ref="D2:E2"/>
    <mergeCell ref="H2:I2"/>
    <mergeCell ref="F2:G2"/>
    <mergeCell ref="H30:I30"/>
    <mergeCell ref="J30:K30"/>
    <mergeCell ref="H25:I25"/>
    <mergeCell ref="H26:I26"/>
    <mergeCell ref="H27:I27"/>
    <mergeCell ref="H28:I28"/>
    <mergeCell ref="J28:K28"/>
    <mergeCell ref="H29:I29"/>
    <mergeCell ref="J29:K29"/>
    <mergeCell ref="J26:K26"/>
    <mergeCell ref="J27:K27"/>
    <mergeCell ref="J19:K19"/>
    <mergeCell ref="J20:K20"/>
    <mergeCell ref="J21:K21"/>
    <mergeCell ref="J22:K22"/>
    <mergeCell ref="J23:K23"/>
    <mergeCell ref="J24:K24"/>
    <mergeCell ref="J25:K25"/>
  </mergeCells>
  <dataValidations count="2">
    <dataValidation type="list" allowBlank="1" showErrorMessage="1" sqref="G15:G32">
      <formula1>"Passed,Failed,Skip"</formula1>
    </dataValidation>
    <dataValidation type="list" allowBlank="1" showErrorMessage="1" sqref="F15:F32">
      <formula1>"High,Medium,Low"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Check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Pritam Saha</cp:lastModifiedBy>
  <dcterms:modified xsi:type="dcterms:W3CDTF">2025-10-22T06:37:16Z</dcterms:modified>
</cp:coreProperties>
</file>